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Signing bonus" sheetId="2" r:id="rId5"/>
    <sheet state="visible" name="Time-based compensation" sheetId="3" r:id="rId6"/>
    <sheet state="visible" name="Tiered participation" sheetId="4" r:id="rId7"/>
    <sheet state="visible" name="Formula Derived" sheetId="5" r:id="rId8"/>
    <sheet state="visible" name="Payout Per Account" sheetId="6" r:id="rId9"/>
    <sheet state="visible" name="Stock and Ribbon" sheetId="7" r:id="rId10"/>
    <sheet state="visible" name="Other" sheetId="8" r:id="rId11"/>
  </sheets>
  <definedNames/>
  <calcPr/>
</workbook>
</file>

<file path=xl/sharedStrings.xml><?xml version="1.0" encoding="utf-8"?>
<sst xmlns="http://schemas.openxmlformats.org/spreadsheetml/2006/main" count="4331" uniqueCount="451">
  <si>
    <t>OPE ID</t>
  </si>
  <si>
    <t>School</t>
  </si>
  <si>
    <t>Who</t>
  </si>
  <si>
    <t>Type</t>
  </si>
  <si>
    <t>Start Date (Documents)</t>
  </si>
  <si>
    <t>Most Recent Amendment</t>
  </si>
  <si>
    <t>Reporting of accts</t>
  </si>
  <si>
    <t>Renewal</t>
  </si>
  <si>
    <t>Reporting addition (signed by univ. official)</t>
  </si>
  <si>
    <t>Term</t>
  </si>
  <si>
    <t>Can include preexisting customer base</t>
  </si>
  <si>
    <t>Student, Faculty, Staff</t>
  </si>
  <si>
    <t>Alumni</t>
  </si>
  <si>
    <t>Note</t>
  </si>
  <si>
    <t>01039500</t>
  </si>
  <si>
    <t>University of San Diego</t>
  </si>
  <si>
    <t>U.S. Bank</t>
  </si>
  <si>
    <t xml:space="preserve">Checking accounts </t>
  </si>
  <si>
    <t>Y</t>
  </si>
  <si>
    <t>5 Year, Then 5 Year</t>
  </si>
  <si>
    <t>This Agreement will remain in effect for an initial  offive years, beginning on the date that this Agreement is signed by the second ofthe two partiel and endingfiveyearsthereafter(''Ten.n"). This Agreement will automatically renew in one-year terms until the Bank or the University notifies the other party in writing their de · e to terminate the Agreement. Written notification oftermination must be received thirty (30) days prior to the end of the Term or any renewal term. In absence of any such notice,this Agreement will continue to remain in effect. If the University wishes to terminate this Agreement at the end ofthe initial Term, the termination must be for good cause. The University will provide Bank with 6 months' advance written notice ofthe facts that the University believes constitute cause for termination ofthe Agreement at the end ofthe initial Term. The University may terminate this Agreement at the end ofthe initial Term only ifthe Bank does not cure within 90 days the issues addressed in the written notice.</t>
  </si>
  <si>
    <t>N OR UNK</t>
  </si>
  <si>
    <t>Tiered percentage</t>
  </si>
  <si>
    <t>00249000</t>
  </si>
  <si>
    <t>Missouri Western State University</t>
  </si>
  <si>
    <t>1 Year</t>
  </si>
  <si>
    <t>This ID Card and Banking Services Agreement ("Agreement") is executed and entered into between MISSOURI WESTERN STATE COLLEGE, St. Joseph, MO ("College") and U.S. BANK NATIONAL ASSOCIATION, ("Bank") (collectively, "the Parties") on Aprill, 2005, for an initial term commencing April, 2005 and ending June 30, 2006 ("Term"). After completion of the Term, the parties may renew the Agreement every twelve months for up to nine additional years should the Parties so agree in writing.</t>
  </si>
  <si>
    <t>00824400</t>
  </si>
  <si>
    <t>Johnson County Community College</t>
  </si>
  <si>
    <t>This ID Card and Banking Services Agreement is entered into on January 1, 2009, by and between Johnson County Community College, Overland Park, KS (“College”) and U.S. BANK NATIONAL ASSOCIATION (“Bank”). This Agreement will remain in effect for an initial term of one year, beginning on the date of this Agreement (“Term”). After completion of the initial Term, this Agreement will automatically renew in subsequent one-year terms until the Bank or the College notifies the other party in writing their desire to terminate the Agreement. Written notification of termination must be received thirty (30) days prior to the end of the Term. In absence of any such notice, this Agreement will continue to remain in effect.</t>
  </si>
  <si>
    <t>Payout per account</t>
  </si>
  <si>
    <t>00754000</t>
  </si>
  <si>
    <t>Missouri Baptist University</t>
  </si>
  <si>
    <t>5 Year, then as needed</t>
  </si>
  <si>
    <t>This Agreement will remain in effect for an initial term of five years, beginning on the date of this Agreement ("Term"). After completion ofthe initial Term, this Agreement will remain in effect until the Bank or the University notifies the other party in writing their desire to terminate the Agreement. In absence of any such notice, this Agreement will continue to remain in effect.</t>
  </si>
  <si>
    <t>00186900</t>
  </si>
  <si>
    <t>Iowa State University</t>
  </si>
  <si>
    <t>NA</t>
  </si>
  <si>
    <t>5 Year, then 1 Year</t>
  </si>
  <si>
    <t>This Agreement will remain in effect for an initial term of five years, beginning on the date of this Agreement (Initial Term) and continue until June 30, 2021. After the Initial Term, the parties may renew this Agreement for five additional successive one-year periods by mutual written agreement within ninety (90) days prior to the end of any Initial Term or renewal term.</t>
  </si>
  <si>
    <t>No incentive structure/Lump sum</t>
  </si>
  <si>
    <t>00166600</t>
  </si>
  <si>
    <t>Concordia University Chicago</t>
  </si>
  <si>
    <t>This Agreement will remain in effect for an initial term of five years, beginning on the date ofthis Agreement ("Term"). After completion ofthe initial Term, this Agreement will automatically renew in subsequent one-year terms until Bank or University notifies the other party in writing their desire to terminate the Agreement. Written notification oftermination must be received thirty (30) days prior to the end ofthe Term. In absence ofany such notice, this Agreement will continue to remain in effect.</t>
  </si>
  <si>
    <t>No incentive structure/Bare bones</t>
  </si>
  <si>
    <t>00194900</t>
  </si>
  <si>
    <t>Washburn University - Topeka</t>
  </si>
  <si>
    <t>UNK</t>
  </si>
  <si>
    <t>This Agreement will remain in effect for an initial term of five years, beginning on the date of this Agreement ("Term"). After completion of the initial Term, this Agreement will automatically renew in subsequent one-year terms until Bank or University notifies the other party in writing their desire to terminate the Agreement. Written notification oftermination must be received at least thirty (30) days prior to the end of the Term. In absence of any such notice, this Agreement will continue to remain in effect.</t>
  </si>
  <si>
    <t>00237500</t>
  </si>
  <si>
    <t>Southwest Minnesota State University</t>
  </si>
  <si>
    <t>This Agreement will remain in effect for an initial term of five years, beginning on the date of this Agreement ("Term").</t>
  </si>
  <si>
    <t>00246100</t>
  </si>
  <si>
    <t>Drury University</t>
  </si>
  <si>
    <t>This Agreement will remain in effect for an initial term ofone year, beginning on the date ofthis Agreement ("Term"). After completion ofthe initial Term, this Agreement will automatically renew in subsequent one-year terms until Bank or University notifies the other party in writing their desire to terminate the Agreement. Written notification oftermination must be received thirty (30) days prior to the end ofthe Tenn. In absence ofany such notice, this Agreement will continue to remain in effect.</t>
  </si>
  <si>
    <t>00250600</t>
  </si>
  <si>
    <t>Saint Louis University</t>
  </si>
  <si>
    <t>5 Year, then 3 Year</t>
  </si>
  <si>
    <t>The term of the Agreement is hereby extended for a period of five (5) years commencing on June 1, 2012, and terminating on May 31, 2017.</t>
  </si>
  <si>
    <t>00252100</t>
  </si>
  <si>
    <t>Webster University</t>
  </si>
  <si>
    <t>This Agreement will remain in effect for an initial term of five years, beginning on the date of this Agreement ("Term"). After completion of the initial Term, this Agreement will automatically renew in subsequent one-year terms until Bank or University notifies the other party in writing their desire to terminate the Agreement. Written notification of termination must be received thirty (30) days prior to the end of the Term. In absence of any such notice, this Agreement will continue to remain in effect.</t>
  </si>
  <si>
    <t>00115700</t>
  </si>
  <si>
    <t>California State University, Stanislaus</t>
  </si>
  <si>
    <t>Wells Fargo</t>
  </si>
  <si>
    <t>The Term of this Agreement shall commence on June 30, 2008, and shall terminate on June 30, 2013, unless otherwise terminated as provided in Section 26 (the "Term") or unless both parties elect to renew the Agreement for up to four (4) additional one- year periods. University agrees to give Bank notice by the first day of March 2013 that it desires to extend the Term and upon mutual agreement, the Term shall be extended for a one (1) year period. This extension procedure shall likewise be applicable with respect to the two additional one-year periods.</t>
  </si>
  <si>
    <t>Bank reserves right to cancel or not</t>
  </si>
  <si>
    <t>00256800</t>
  </si>
  <si>
    <t>University of Nevada, Reno</t>
  </si>
  <si>
    <t>5 Year</t>
  </si>
  <si>
    <t xml:space="preserve">NSHE and Bank have previously entered into a certain ATM/PIN-BASED DEBIT CARD AGREEMENT effective as of July 31, 2006 and thereafter extended to July 30, 2012 (the "Prior Agreement");
</t>
  </si>
  <si>
    <t>01116100</t>
  </si>
  <si>
    <t>Texas A &amp; M University-Corpus Christi</t>
  </si>
  <si>
    <t>The services requested shall be provided for a period of three (3) years,beginning on June 01, 2010 and ending on May 31, 2013. This Agreement shall be extended for two (2) additional yearly periods under the same terms and conditions unless either party shall give written notice ofter termination at least ninety (90) days prior to the end of the respective period.</t>
  </si>
  <si>
    <t>Contract existed since 2004: https://goo.gl/veskse</t>
  </si>
  <si>
    <t>00361500</t>
  </si>
  <si>
    <t>Texas State University-San Marcos</t>
  </si>
  <si>
    <t>The Term of this Agreement shall commence on May 1, 2005 and shall terminate on May 1, 2010, unless otherwise terminated as provided in Section 26 (the "Term") or unless both parties elect to renew the Agreement for up to five additional one-year terms by giving notice no later than the first day of April2010 prior to the end of the Term.</t>
  </si>
  <si>
    <t>00114100</t>
  </si>
  <si>
    <t>California State University, Dominguez Hills</t>
  </si>
  <si>
    <t>The Term of this Agreement shall commence on July 15, 2015, and shall terminate on July 14, 2020, unless otherwise terminated as provided in Section 25 (the "Term") or muess botl1 parties elect to renew the Agreement for up to five (5) additional one- year periods. Foundation agrees to give Bank notice by the first day of May 2020 tl1at it desires to extend the Term and upon mutUal agreement, the Term shall be extended for a one (1) year period. This extension procedure shall likewise be applicable with respect to the four additional one-year periods.</t>
  </si>
  <si>
    <t>00236000</t>
  </si>
  <si>
    <t>Minnesota State University, Mankato</t>
  </si>
  <si>
    <t xml:space="preserve">This agreement will commence on April 1, 2014, and unless terminated eariler as provided in Section 16 of agreement shall terminate on March 31, 2019. </t>
  </si>
  <si>
    <t>00265700</t>
  </si>
  <si>
    <t>New Mexico State University</t>
  </si>
  <si>
    <t>Contract existed since 2013. See contract.</t>
  </si>
  <si>
    <t>00153500</t>
  </si>
  <si>
    <t>University of Florida</t>
  </si>
  <si>
    <t>Wachovia, now Wells Fargo</t>
  </si>
  <si>
    <t>5 Year, then 5 Year</t>
  </si>
  <si>
    <t>The initial term of this Agreement shall be five years, beginning on Julyl, 2010 and ending on June 30, 2015. The University shall have an option to extend the initial term of this Agreement for a period up to five (5) additional years. In the event the University desires to extend the initial term of this Agreement, it shall notify Bank at least ninety (90) days prior to the expiration of the initial term that it is extending the Agreement and the length of the extension (not to exceed five (5) years). Either party may terminate the Agreement without penalty or cause by giving the other party at least ninety (90) calendar days prior written notice.</t>
  </si>
  <si>
    <t>00338800</t>
  </si>
  <si>
    <t>Villanova University</t>
  </si>
  <si>
    <t>The parties agree the initial term of this Agreement shall commence on the I st day of August, 2008, and shall tcnninatc on the 5th anniversary thereof. VU shall have the right to renew this Agreement  r an additional term of 1 ycnrs on the sametermsandconditionsasstatedherein. VUshallexercisethisrightbygiving Wachovia written notice of its election at least 30 days' prior to the expiration of the initial term. Should VU fail to give such notice to Wachovia the Agreement shall tenninatc upon the expiration ofthe initial term.</t>
  </si>
  <si>
    <t>00963500</t>
  </si>
  <si>
    <t>Florida International University</t>
  </si>
  <si>
    <t>The term of this License shall be for a period of five (5) years (each a "Contract Year") commencing on March I, 20 II ("Commencement Date") and ending on Februmy 29, 2016 ("'nitial Term"). This License may be renewed for one additional five (5) year term, subject to the mutual written agreement of the pa1ties ("Renewal Term"). "License Term" shall mean the Initial Term, the Renewal Term, and any extensions of the License.</t>
  </si>
  <si>
    <t>00144500</t>
  </si>
  <si>
    <t>Georgetown University</t>
  </si>
  <si>
    <t>PNC</t>
  </si>
  <si>
    <t>7 Year, then 1 Year</t>
  </si>
  <si>
    <t>This Agreement shall commence on the Effective Date and shall terminate on June 30, 2021 ("Initial Term"). The University may elect at its option to extend the term for one (I) additional seven (7) year term (a "Renewal Term") unless the Agreement is earlier terminated in accordance with Section 17 below. The Initial Tetm and the Renewal Term may be referred to herein as a "Term".</t>
  </si>
  <si>
    <t>Formula derived</t>
  </si>
  <si>
    <t>00302400</t>
  </si>
  <si>
    <t>Case Western Reserve University</t>
  </si>
  <si>
    <t>6 Year, then 1 Year</t>
  </si>
  <si>
    <t>This Agreement shall commence on the Effective Date and shall terminate on June 30, 2017, ("Initial Term"), unless sooner terminated as othern'ise provided herein. Upon mutual agreement of the parties, this Agreement shall renew for one (1) additional five (5) year term (a "Renewal Term"), provided that the parties mutually establish new Program Goals and Royalty Payment least one-hundred and eighty (180) days in advance of the expiration of the Initial Tenn. For the avoidance of doubt, if the parties do not agree on new Program Goals and Royalty Payments in the time frame provided herein, then this Agreement shall terminate upon the expiration of the Initial Tem1. The Initial Term and the Renev..,al Term are referred to collectively herein as the "Term".</t>
  </si>
  <si>
    <t>00143100</t>
  </si>
  <si>
    <t>University of Delaware</t>
  </si>
  <si>
    <t>This Agreement shall commence on the Effective Date and shall terminate on June 1, 2017 ("Initial Term") unless sooner terminated as otherwise provided herein. The University may renew this Agreement for up to three (3) successive terms of one (1) year each (each a "Renewal Term"). The Initial Term and each Renewal Term may be referred to herein as a "Term".</t>
  </si>
  <si>
    <t>00232500</t>
  </si>
  <si>
    <t>University of Michigan</t>
  </si>
  <si>
    <t>10 Year, then 5 Year</t>
  </si>
  <si>
    <t>The initial term of this Agreement will begin on May 1, 2015 and end on April 30, 2025. At the end of the initial term, this Agreement will be evaluated. If the parties agree, the Agreement may be extended in writing for up to five (5) additional years. Time is ofthe essence in this Agreement.</t>
  </si>
  <si>
    <t>00292900</t>
  </si>
  <si>
    <t>Gardner-Webb University</t>
  </si>
  <si>
    <t>This Agreement shall commence on the Effective Date and shall terminate on December 31, 2020 (Initial Term). The term here of shall be automatically extended for one (1) additional five (5) year term (a "Renewal Tetm") unless the Agreement is earlier terminated in accordcmce with Section 17 below. The Initial Term and the Renewal Term may be refened to herein as a Term.</t>
  </si>
  <si>
    <t>00259800</t>
  </si>
  <si>
    <t>Caldwell University</t>
  </si>
  <si>
    <t>This Agreement shall commence on the Effective Date and shall tenninate on December 31, 2020 ("Initial Term").</t>
  </si>
  <si>
    <t>00301800</t>
  </si>
  <si>
    <t>Bowling Green State University</t>
  </si>
  <si>
    <t>5 Year, then 5 Year, then 8 Year</t>
  </si>
  <si>
    <t>This Agreement shall commence as ofthe Effective date ofthis Amendment and shall terminate on May 31, 2023, unless the Agreement is terminated earlier in accordance with Section 17 ofthe Agreement.</t>
  </si>
  <si>
    <t>00305100</t>
  </si>
  <si>
    <t>Kent State University</t>
  </si>
  <si>
    <t>10 Year, then 1 Year</t>
  </si>
  <si>
    <t>This Agreement shall commence on the Effective Date and shall terminate on June 30, 2027 ("Initial Term"). Unless sooner terminated as otherwise provided herein. Upon mutual agreement of the parties, this Agreement shall renew three (3) successive terms of one (l) year (the "Renewal Term"), provided that the parties mutually establish new Program Expectations and License Fee Payments at least one-hundred and twenty (120 days) in advance of the expiration of the then current Term. The Initial Term and the Renewal Term may be referred to herein as a "Term".</t>
  </si>
  <si>
    <t>00312500</t>
  </si>
  <si>
    <t>University of Cincinnati</t>
  </si>
  <si>
    <t>This Agreement shall commence on the Effective Date and shall terminate on the fifth anniversary of the Effective Date ("Initial Term"). The University may renew this Agreement for up to three (3) successive terms of one (1) year each (each a "Renewal Term"), provided that the parties mutually establish new Program Goals and Royalty payments at least one hundred and eighty (180) days in advance of the expiration of the then-current Term. The Initial Term and each Renewal Term may be referred to herein as a "Term".</t>
  </si>
  <si>
    <t>00314500</t>
  </si>
  <si>
    <t>Youngtown State University</t>
  </si>
  <si>
    <t>10 Year</t>
  </si>
  <si>
    <t>This Agreement shall commence on the Effective Date and shall terminate on December 31, 2025 (''the Term").</t>
  </si>
  <si>
    <t>00323500</t>
  </si>
  <si>
    <t>Arcadia University</t>
  </si>
  <si>
    <t>Unless sooner terminated pursuant to Section 17 below, this Agreement shall commence on the Effective Date and shall terminate on December 31, 2013 ("Term").</t>
  </si>
  <si>
    <t>00326800</t>
  </si>
  <si>
    <t>Gettysburg College</t>
  </si>
  <si>
    <t>This Agreement shall commence on the Effective Date and shall terminate on December 31,2020("InitialTerm").The term here of shall be automatically extended for one (1) additional five (5) year term (a "Renewal Term") unless the Agreement is earlier terminated in accordance with Section 17 below. The Initial Term and the Renewal Term may be referred to herein as a "Term".</t>
  </si>
  <si>
    <t>00336700</t>
  </si>
  <si>
    <t>Saint Joseph's University</t>
  </si>
  <si>
    <t>5 Year, then 5 Year, then 1 Year</t>
  </si>
  <si>
    <t>This Agreement shall commence on the Effective Date, August 1, 2006, and shall terminate on December 31, 2011, unless otherwise terminated or amended in accordance with the tenns ofthis Agreement ("Term").</t>
  </si>
  <si>
    <t>00177500</t>
  </si>
  <si>
    <t>University of Illinois</t>
  </si>
  <si>
    <t>This Agreement shall commence on the Effective Date and shall terminate on May 31, 2025 ("'Initial Term") unless earlier terminated in accordance with Section 17 below. On or after June I, 2024, either party may provide the other party with written notice of the party's desire to enter into an extension of the Initial Term (a ·'Renewal Term") on terms and conditions mutually agreeable to the parties. Within twenty (20) business days of receipt of a party's written notice of its desire to renew the Agreement the other party shall indicate in writing to the party seeking a renewal of the Agreement whether the other party is willing to negotiate such a renewal, or, alternatively, its intention that the Agreement expire as of the end of the Initial Term. If the other party indicates in writing a willingness to negotiate the terms and conditions upon which the Agreement shall be renewed, the pa1ties shall thereafter negotiate in good faith the terms and conditions ofsuch a renewal. Ifthe parties are unable to conclude their negotiations and execute a renewal of this Agreement prior to February 28, 2025, this Agreement shall terminate upon the expiration ofthe Initial Term. The University shall have the right at any time during the Initial Term or any Renewal Terms to solicit Requests for Proposals ("RFPs") from financial institutions, which may include PNC Bank, for services that are the same or similar to the Financial Services as defined in Section I(h) above, and to enter into an Agreement with a successor financial institution; provided, however, that any new agreement with said financia l institution shall not become effective until th is Agreement has term inated or expired.</t>
  </si>
  <si>
    <t>Student</t>
  </si>
  <si>
    <t>Lump sum/Payout per account</t>
  </si>
  <si>
    <t>00171000</t>
  </si>
  <si>
    <t>Loyola University of Chicago</t>
  </si>
  <si>
    <t>(a) The Agreement shall commence on the Effective Date aod shall terminate on December 31, 2020, unless earlier terminated as otherwise provided herein ("Term")."</t>
  </si>
  <si>
    <t>00209900</t>
  </si>
  <si>
    <t>Towson University</t>
  </si>
  <si>
    <t>The Term (here in after the "Term") ofthe Lease is nine (9) years, ten (10) months and sixteen (16) days and commences on August 15, 2011 (the "Commencement Date") and expires on June 30, 2021 ("Termination Date") unless otherwise terminated as provided herein. The first "Lease Year" shall commence on the Commencement Date and shall end on the twelfth full calendar month following the Commencement Date; thereafter each Lease Year shall consist of successive periods of twelve calendar months. Any portion ofthe Term remaining on the Termination Date shall constitute the final Lease Year and the Rent (as hereinafter defined) shall be apportioned accordingly.</t>
  </si>
  <si>
    <t>00307700</t>
  </si>
  <si>
    <t>Miami University</t>
  </si>
  <si>
    <t>This Agreement shall commence on the Effective Date and shall terminate on December 31, 2018, ("Initial Term"), unless sooner terminated as otherwise provided herein. Upon mutual agreement of the parties, this Agreement shall renew up to three (3) successive terms of one (1) year each (each a "Renewal Term"), provided that the parties mutually establish new Program Goals and Royalty Payments at least one.,hundred and twenty (120) days in advance of the expiration of the then current Term. The Initial Term and the Renewal Term may be referred to herein as a "Term".</t>
  </si>
  <si>
    <t>00332900</t>
  </si>
  <si>
    <t>The Pennsylvania State University</t>
  </si>
  <si>
    <t>This Agreement shall commence on the Effective Date and shall terminate on December 31, 2019 (“Initial Term”), unless sooner terminated in accordance with Section 17 below.  The parties agree to meet within 180 days of the termination date to discuss renewal terms and conditions. Upon mutual agreement of the parties, this Agreement shall renew up to two (2) successive terms of one (1) year each (each a “Renewal Term”).The Initial Term and the Renewal Term may be referred to herein as a “Term”.</t>
  </si>
  <si>
    <t>00337900</t>
  </si>
  <si>
    <t>University of Pittsburgh</t>
  </si>
  <si>
    <t>7 Year, then 5 Year</t>
  </si>
  <si>
    <t>The term of this Agreement shall commence as of the Effective Date and shall terminate on December 31, 2019 (the "Initial Term"), unless this Agreement is otherwise extended or terminated in accordance with the terms specified herein.</t>
  </si>
  <si>
    <t>00380000</t>
  </si>
  <si>
    <t>Washington State University</t>
  </si>
  <si>
    <t>8 Year, then 2 Year</t>
  </si>
  <si>
    <t>The first signing bonus installment of $50,000 is due upon the issuance of the first card and to be paid prior to June 30, 2007.</t>
  </si>
  <si>
    <t>00115000</t>
  </si>
  <si>
    <t>California State University, Sacramento</t>
  </si>
  <si>
    <t>The Term of this Agreement shall commence on the later of the date of final execution or October 1, 2014, and shall terminate on August 31, 2019, unless otherwise terminated as provided in Section 26 (the "Term") or unless both parties elect to extend the Agreement for up to three (3) additional one-year periods. University agrees to give Bank notice by the first day of May 2019 that it desires to extend the Term and upon mutual agreement, the Term shall be extended for a one (1) year period. This extension procedure shall likewise be applicable with respect to the two additional one-year periods.</t>
  </si>
  <si>
    <t>00391700</t>
  </si>
  <si>
    <t>University of Wisconsin - Eau Claire</t>
  </si>
  <si>
    <t>5 Year, then 2 Year</t>
  </si>
  <si>
    <t>June 1, 2010 through June 30, 2017</t>
  </si>
  <si>
    <t>00167100</t>
  </si>
  <si>
    <t>DePaul University</t>
  </si>
  <si>
    <t>PNC Bank</t>
  </si>
  <si>
    <t>This Agreement shall commence on the Effective Date and shall terminate on June 30, 2015 ("Initial Term") unless sooner terminated as otherwise provided herein. The University may renew this Agreement on the same terms for up to three (3) successive terms of one (I) year each (each a "Renewal Term"). The Initial Tenn and each Renewal Tenn may be referred to herein as a "Tenn".</t>
  </si>
  <si>
    <t>SORT OF</t>
  </si>
  <si>
    <t>00251800</t>
  </si>
  <si>
    <t>University of Missouri - Kansas City</t>
  </si>
  <si>
    <t>This Agreement shall commence on the date of this Agreement and shall remain in effect for five (5) years thereafter (the "Initial Term"), unless earlier terminated or renewed pursuant to the terms of this Agreement. This Agreement may be renewed upon mutual agreement of the parties for up to three (3) additional successive terms of one (1) year. Either party may tenninate this Agreement at the end of the initial term or any renewal term by giving the other party 60 days advance written notice of intent to terminate. The renewal periods will be on the same terms and conditions as set forth herein.</t>
  </si>
  <si>
    <t>00108300</t>
  </si>
  <si>
    <t>University of Arizona</t>
  </si>
  <si>
    <t xml:space="preserve"> The Term of this Agreement shall commence on April 1, 2012, and shall terminate on June 30, 2017, unless otherwise terminated as provided in Section 21 (the "Term ") . Provided Wells Fargo is not in default under this Agreement or the Lease , and the Lease is automatically renewed for the same period of time, this Agreement shall automatically renew on the same terms, covenants and conditions as provided for in this Agreement for the Initial Tenn except for any payment escalations set forth herein.</t>
  </si>
  <si>
    <t>00113700</t>
  </si>
  <si>
    <t>California State University - Fullerton</t>
  </si>
  <si>
    <t>THIS AGREEMENT , made and entered into this 19th_day of March, 2007,
in the State of California, by and between the Trustees of the California State University, which is the State of California actin1 in a higher education capacity, through its duly appointed and acting officer, hereinafter called the University and</t>
  </si>
  <si>
    <t>00134900</t>
  </si>
  <si>
    <t>University of Northern Colorado</t>
  </si>
  <si>
    <t>7-1-2008 thru 6-30-2013. 7. The resulting contract may be renewed for an additional 5 years for a total contract length of 10 years, through 6-30-2018</t>
  </si>
  <si>
    <t>00200800</t>
  </si>
  <si>
    <t>University of Akron</t>
  </si>
  <si>
    <t>This Agreement shall commence on the Effective Date and shall te1minate on December 31, 2018, ("Initial Term"), unless sooner terminated as otherwise provided herein. Upon mutual agreement of the parties, this Agreement shall renew for one (1) successive tenn of five (5) years (the "Renewal Te1m"), provided that the pmiies mutually establish new Progran1 Goals and Royalty terms at least one-hundred and twenty (120) days in advance of the expiration of the Initial Te1m. The Initial Term and the Renewal Term, if any, are referred to herein as the ''Term.''</t>
  </si>
  <si>
    <t>00381500</t>
  </si>
  <si>
    <t xml:space="preserve">Marshall University </t>
  </si>
  <si>
    <t>This Agreement shall commence on the Effective Date and shall terminate on May 31, 2020 ("Initial Term") unless sooner terminated as otherwise provided herein. Upon mutual agreement of the parties, this Agreement may be extended for one (1) additional five (5) year term (each a "Renewal Term") unless the Agreement is earlier terminated in accordance with Section 17 below. University shall provide PNC Bank with ninety (90) days prior written notice of its intent to renew the Agreement. The Initial Term and the Renewal Term may be referred to herein as a "Term".</t>
  </si>
  <si>
    <t>Signing bonus 1</t>
  </si>
  <si>
    <t>Award Year 1</t>
  </si>
  <si>
    <t>Signing bonus 2</t>
  </si>
  <si>
    <t>Award Year 2</t>
  </si>
  <si>
    <t>Confirmed via FOIA</t>
  </si>
  <si>
    <t>!</t>
  </si>
  <si>
    <t>Initial royalty payment (Signing bonus 2)</t>
  </si>
  <si>
    <t>Texas A&amp;M University-Corpus Christi</t>
  </si>
  <si>
    <t>The initial payment will be for $25,000 of the signing bonus to be paid with sixty (60) days of the date the Agreement is executed. The remaining $25,000 to be paid within sixty (60) days following the "live" date of the CSUDH Card. Bank will not have the opportunity to increase its checking accom1t percentages until the new card program is latmched and Bank can open and link checking accmmts to the CSUDH Card. /// While the Foundation and Wells Fargo have opened the campus banking center, neither the Foundation nor Wells Fargo have begun implementation of any component of the one-card program. There have been no financial institution accounts opened pursuant to that agreement, nor has there been any communications, marketing, or referrals to any students, faculty, or staff for financial institution services under the one-card program. The Foundation does not have a definite timeline for implementation of the one-card program contemplated under the agreement, and any implementation would only occur after consultation with, and the agreement of, the University and its governing bodies.</t>
  </si>
  <si>
    <t>NY</t>
  </si>
  <si>
    <t>2016-2017</t>
  </si>
  <si>
    <t>$200,000 to be paid for 2018-2020</t>
  </si>
  <si>
    <t>Year</t>
  </si>
  <si>
    <t>Marketing</t>
  </si>
  <si>
    <t>Aniversary payment</t>
  </si>
  <si>
    <t>Lease Agreement</t>
  </si>
  <si>
    <t>Operations Payment</t>
  </si>
  <si>
    <t>ATM or Location Payment</t>
  </si>
  <si>
    <t>Special event coordination</t>
  </si>
  <si>
    <t>Publicity &amp; News Print</t>
  </si>
  <si>
    <t>Website Link Development</t>
  </si>
  <si>
    <t>Staffing Support</t>
  </si>
  <si>
    <t>Scholarships</t>
  </si>
  <si>
    <t>Stock and Ribbon / Card Costs</t>
  </si>
  <si>
    <t>Events</t>
  </si>
  <si>
    <t xml:space="preserve">Instant Issuance program </t>
  </si>
  <si>
    <t>Brochures/Mailings</t>
  </si>
  <si>
    <t>Preferred Event Access</t>
  </si>
  <si>
    <t>Signage Loose (Bulletins, Halls)</t>
  </si>
  <si>
    <t>Security</t>
  </si>
  <si>
    <t>Other</t>
  </si>
  <si>
    <t>CBORD Fee</t>
  </si>
  <si>
    <t>Corporate Sponsorship</t>
  </si>
  <si>
    <t>Confirmed</t>
  </si>
  <si>
    <t xml:space="preserve">Space rental comes out of royalty payment, with rest of royalty payment paid out to USD. </t>
  </si>
  <si>
    <t>2012-13</t>
  </si>
  <si>
    <t>2013-14</t>
  </si>
  <si>
    <t>2014-15</t>
  </si>
  <si>
    <t>2015-16</t>
  </si>
  <si>
    <t>2016-17</t>
  </si>
  <si>
    <t>2017-18*</t>
  </si>
  <si>
    <t>2018-19*</t>
  </si>
  <si>
    <t>2019-20*</t>
  </si>
  <si>
    <t>2020-21*</t>
  </si>
  <si>
    <t>2017*</t>
  </si>
  <si>
    <t xml:space="preserve">1. The parties mutually agree that each year after the first year ofthis Agreement, in
which University and Bank have not mutually agreed to a location for theE-Branch, the Fixed Annual Royalty shall be reduced by a total often percent (10%).
2. The parties mutually agree that the Fixed Annual Royalty shall be reduced by the amount o f Rent Payments due under the fully executed E-branch Lease.
</t>
  </si>
  <si>
    <t>2021-22*</t>
  </si>
  <si>
    <t>2022-23*</t>
  </si>
  <si>
    <t>2023-24*</t>
  </si>
  <si>
    <t>2024-25*</t>
  </si>
  <si>
    <t>2025-26*</t>
  </si>
  <si>
    <t>2026-27*</t>
  </si>
  <si>
    <t xml:space="preserve">Operations payement is a guaranteed royalty payment, to be coupled w/ $200 payment for every account over 4681. </t>
  </si>
  <si>
    <t>Notwithstanding anything to the contrary in the Original Agreement, including without limitation with respect to any Program Goals, Program Goal Totals and new Student, faculty and staff accounts set fmth in the Original Agreement, the Parties agree that, during the Renewal Term, PNC Bank will pay University Royalty payments as follows, in accordance with Section 3(h) of the Original Agreement. 
For the avoidance of doubt, the Patties agree that the above Royalty payments have been calculated based on the 2015 calendar year Royalty in the Original Agreement ($85,000) multiplied by 4% for January 2016, 3% for February 2016 and 3% for March 2016.</t>
  </si>
  <si>
    <t>2018*</t>
  </si>
  <si>
    <t>2019*</t>
  </si>
  <si>
    <t>2020*</t>
  </si>
  <si>
    <t>After the first Lease Year, on the first day ofeach subsequent Lease Year, rent ("Rent") shall be determined by multiplying the Annual Base Rent (as defined below) by the percentage change that is published for the December ofeach immediately preceding Lease Year in the "Consumer Price Index'' or "CPI' which means the Consumer Price Index for All Urban Consumers, CD-MD-V A-WV (1996), published by the Bureau of Labor Statistics ofthe United States Department ofLabor ("BLS").</t>
  </si>
  <si>
    <t>$30,000*</t>
  </si>
  <si>
    <t>2021*</t>
  </si>
  <si>
    <t>Bound</t>
  </si>
  <si>
    <t>Participation (Lower Bound)</t>
  </si>
  <si>
    <t>Participation (Upper Bound)</t>
  </si>
  <si>
    <t>Amount</t>
  </si>
  <si>
    <t>Denominator</t>
  </si>
  <si>
    <t>Schedule</t>
  </si>
  <si>
    <t>Start Year</t>
  </si>
  <si>
    <t>End Date</t>
  </si>
  <si>
    <t>Notes</t>
  </si>
  <si>
    <t>Dual</t>
  </si>
  <si>
    <t>Actual compensation</t>
  </si>
  <si>
    <t>1039500</t>
  </si>
  <si>
    <t>Lowest</t>
  </si>
  <si>
    <t>Per Year</t>
  </si>
  <si>
    <t>2013-2014</t>
  </si>
  <si>
    <t xml:space="preserve">The participation percentage above will be determined by dividing th9 number of active University student checking accounts with the University o f S::'f Diego ''Segment Code" by the universe ofpotential prospects (which shall the "FTE [Full Time Equivalent] All enrollments by semester as publ shed by the University). The University ofSan Diego Segment Code shall includ all accounts opened (in person, on-line, or otherwise) at any U.S. Bank branch by any enrolled USD student or any other individual who has been admitted to and intends to attend USD. Bank shall be responsible for including the niversity of San Diego Segment Code on all such accounts. Space rental comes out of royalty payment, with rest of royalty payment paid out to USD. </t>
  </si>
  <si>
    <t>Two-type</t>
  </si>
  <si>
    <t>Highest</t>
  </si>
  <si>
    <t>2014-2015</t>
  </si>
  <si>
    <t>249000</t>
  </si>
  <si>
    <t>The participation percentage above will be determined by dividing the number of active Missouri Western State College student checking accounts by the universe ofpotential prospects (estimate student enrollment numbers). The scale above is based upon 5,100 potential participants and can be re-negotiated annually based on actual Registrar's records.</t>
  </si>
  <si>
    <t>824400</t>
  </si>
  <si>
    <t>194900</t>
  </si>
  <si>
    <t>2011, 2012, 2013, 2014</t>
  </si>
  <si>
    <t>2015, 2016</t>
  </si>
  <si>
    <t>The annual account royalty payment shall be based on the number of eligible checking accounts linked to Warrior Cards as a percentage of total student enrollments for the academic school year. Eligible checking accounts linked to a Warrior Card held by faculty and staff will be included in the numerator of the percentage calculation but not the denominator. Accordingly, faculty and staff are not included in total student enrollment figure.</t>
  </si>
  <si>
    <t>The annual account royalty payment shall be based on the number of eligible checking accounts linked to Warrior Cards as a percentage of total student enrollments for the academic school year. Eligible checking accounts linked to a Warrior Card held by faculty and staff will be included in the numerator of the percentage calculation but not the denominator. Accordingly, faculty and staff are not included in total student
enrollment figure.</t>
  </si>
  <si>
    <t>Percentage of Incremental Linked Accounts above current 13% penetration</t>
  </si>
  <si>
    <t>Annual account royalty payments, based on number oflinked Sanc!Dollar$ Card Bank Accounts, will be calculated from the total enrollment ofEligible TAMU-CC Community Members based on TAMU-CC's fall census date as defined by Coordinating Board. The annual account royalty payment will be due to TAMU-CC within thirty (30) days ofthe receipt ofthe requested account royalty payment invoice from TAMU-CC.</t>
  </si>
  <si>
    <t>The penetration percentage above will be determined by dividing the number of active checking accounts by the universe of potential prospects (enrollment numbers). This Royalty schedule is based on 18,000 Washington State University students. This 18,000 figure shall remain effective for the duration of the Initial Term of this Agreement.</t>
  </si>
  <si>
    <t>The annual account royalty payment shall be based on the number of eligible checking accounts linked to Sacramento State OneCards as a percentage of total student enrollments for the academic school year. Eligible checking accounts linked to a Sacramento State OneCard held by faculty and staff will be included in the numerator of the percentage calculation but not the denominator. Accordingly, faculty and staff are not included in total student enrollment figure.</t>
  </si>
  <si>
    <t>The penetration percentages above will be determined by dividing the number of active checking
accounts attached to the Blugold Card by the universe of potential prospects (enrollment numbers) . We have based our Royalty schedule on 11,000 students as stated in the RFP.</t>
  </si>
  <si>
    <t>3,000 accounts</t>
  </si>
  <si>
    <t>5,999 accounts</t>
  </si>
  <si>
    <t>Years 2 through completion, U.S. Bank will pay University o fMissouri  Kansas City a royalty based on number of accounts, payable within 30 days of the anniversary date of the on-campus branch opening/first card issuance. This payment is in addition to the guaranteed annual branch rent. By measuring the success of the relationship on an annual basis, this model allows a full cycle of students, faculty, and staff to participate thus reflecting a larger penetration percentage for the University.</t>
  </si>
  <si>
    <t>6,000 accounts</t>
  </si>
  <si>
    <t>8,999 accounts</t>
  </si>
  <si>
    <t>9,000 accounts</t>
  </si>
  <si>
    <t>11,999 accounts</t>
  </si>
  <si>
    <t>12,000 accounts</t>
  </si>
  <si>
    <t>Years 2 through 9, US Bank shall pay California State University Fullerton a royalty per active account% of net
participation payable within 30 days of the anniversary date of 
the first card issuance.</t>
  </si>
  <si>
    <t>Accordingly, if the Agreement execution date is July 1, 2008, the initial royalty payment will be paid in September 2008 and the first account royalty payment based on participation would be calculated in June 2009. The account royalty payment would be made by August 2009.</t>
  </si>
  <si>
    <t>Analysis Year</t>
  </si>
  <si>
    <t>Student-New Checking Accounts Threshold</t>
  </si>
  <si>
    <t>Student-All Checking Accounts Threshold</t>
  </si>
  <si>
    <t>Faculty/Staff-New Checking Accounts Threshold</t>
  </si>
  <si>
    <t>Grand Total Threshold (q)</t>
  </si>
  <si>
    <t>Fee if threshold met (n)</t>
  </si>
  <si>
    <t>If threshold not met</t>
  </si>
  <si>
    <t>(i) Minimum Formula</t>
  </si>
  <si>
    <t>(ii) Floor (min)</t>
  </si>
  <si>
    <t>If threshold exceeded</t>
  </si>
  <si>
    <t>Ceiling (max)</t>
  </si>
  <si>
    <t>FOIA</t>
  </si>
  <si>
    <t>(i) an amount equal to the Annual Fee stated in paragraph 3(b) above for the applicable Contract Year multiplied by a fraction, the numerator of which is the number of new Accounts for the Contract Year and the denominator of which is the Program Goal Total for that Contract Year; or (ii) an amount equal to three quarters (75%) ofthe Annual Fee stated in paragraph 3(b) for the applicable Contract Year.</t>
  </si>
  <si>
    <t>If x = 1-4%, x% exceeded = (x% * additional fee of n) + n; if x = 5-9%, x% exceeded = ((x% + 5%) * additional fee of n) + n; If x = 10% or greater = (20% * additional fee of n) + n.</t>
  </si>
  <si>
    <t xml:space="preserve">(i) an amount equal to the Royalty stated in paragraph (b) above for the applicable academic year multiplied by a fraction, the numerator of which is the number of new Accounts for the academic year and the denominator of which is the Program Goal Total for that academic year; or (ii) an amount equal to sixty-six percent (66%) of the Royalty stated in paragraph (b) for the applicable academic year.
</t>
  </si>
  <si>
    <t>As of the Effective Date of this Agreement for any academic year in which the Program Goal Total is exceeded by five percent (5%) or more, the Royalty will be increased by ten percent (10%) for such academic year.</t>
  </si>
  <si>
    <t>(i) an amount equal to the Royalty stated in paragraph (b) above for the applicable calendar year multiplied by a fraction, the numerator of which is the number of new Accounts for the calendar year and the denominator of which is the Total Goal for that calendar year; or (ii) an amount equal to fifty percent (50%) of the Royalty stated in paragraph (b) for the first year of the Term and (iii) sixty percent (60%) for each remaining year of the Term.</t>
  </si>
  <si>
    <t>For any calendar year in which the Program Goal is exceeded by five percent (5%) or more, the Royalty will be increased by ten percent (10%) for such calendar year.</t>
  </si>
  <si>
    <t>210</t>
  </si>
  <si>
    <t>(i) an amoumt equal to the License Fee stated in paragraph 3(b) above for the applicable calendar year multiplied by a fraction, the numerator of which is the number of new Accounts for the calendar year and the denomjnator of which is the Program Expectations Total for that calendar year; or (ii) an amount equal to two-thirds (2/3rds) of the Royalty stated in paragraph 3(b) for the applicable calendar year.</t>
  </si>
  <si>
    <t>If x = 1(+.99)-4(+.99)%, x% exceeded = (x% * additional fee of n) + 5K; if x = 5(+.99)-9(+.99)%, x% exceeded = ((x% + 5%) * additional fee of n) + n; If x = 10% or greater = (20% * additional fee of n) + n.</t>
  </si>
  <si>
    <t>(i) an amoumt equal to the License Fee stated in paragraph 3(b) above for the applicable calendar year multiplied by a fraction, the numerator of which is the number of new Accounts for the
calendar year and the denomjnator of which is the Program Expectations Total for that calendar year; or (ii) an amount equal to two-thirds (2/3rds) of the Royalty stated in paragraph 3(b) for the applicable calendar year.</t>
  </si>
  <si>
    <t>(i) an amount equal to the Royalty stated in paragraph 3(b) above for the applicable calendar year multiplied by a fi·action, the numerator of which is the number of new Accounts for the calendar year and the denominator of which is the Program Goal Total for that calendar year; or (ii) an amount equal to two-thirds (2/3rds) of the Royalty stated in paragraph 3(b) for the applicable calendar year.</t>
  </si>
  <si>
    <t>(i) an amount equal to the Royalty stated in paragraph (b) above for the applicable calendar year multiplied by a fraction, the numerator of which is the number of new Accounts for the calendar year and the denominator of which is the Program Goal Total for that calendar year; or (ii) an amount equal to fifty percent (50%) of the Royalty stated in paragraph (h) for the applicable calendar year.</t>
  </si>
  <si>
    <t>Effective June 1, 2011 for any calendar year in which the Program Goal Total is exceeded by five percent (5%) or more, the Royalty will be increased by ten percent (10%) for such calendar year. The University will not be eligible for any increased Royalty if the University exceeds the 2010 Program Goal Total.</t>
  </si>
  <si>
    <t>As of the 1st day of April, 2012  for any calendar year in which the Program Goal Total is exceeded, and eighty percent (80%) of the Faculty and Staff Program Goals have been met, additional Royalty payments would be available as follows: If x = 1-4%, x% exceeded = (x% * additional fee of n) + n; if x = 5-9%, x% exceeded = ((x% + 5%) * additional fee of n) + n; If x = 10% or greater = (20% * additional fee of n) + n.</t>
  </si>
  <si>
    <t>(i) an amount equal to the License Fee stated in Section 3(b) above for the applicable calendar year multiplied by a fraction, the numerator of which is the number of new Accounts for the calendar year and the denominator of which is the Program Expectation Total for that calendar year; or (ii) an amount equal to seventy-five percent (75%) of the License Fee stated in Section 3(b) for the applicable calendar year.</t>
  </si>
  <si>
    <t>As of the Effective Date of this Agreement for any calendar year in which the Program Expectation Total is exceeded for any calendar year and at least seventy-five percent (75%) of the Faculty &amp; Staff production goal is attained, additional License Fee payments would be available as follows: If x = 1-4%, x% exceeded = (x% * additional fee of n) + n; if x = 5-9%, x% exceeded = ((x% + 5%) * additional fee of n) + n; If x = 10% or greater = (20% * additional fee of n) + n.</t>
  </si>
  <si>
    <t>(i) an amount equal to the Royalty stated in paragraph 3(b) above for the applicable calendar year multiplied by a fraction, the numerator ofwhich is the number of new Accounts for the calendar year and the denominator of which is the Program Goal Total for that calendar year; or(ii)until such time the ATM is installed in the New Building, an amount equal to three fourths (3/4ths) of the Royalty stated in paragraph 3(b) for the applicable calendar year; thereafter Two Hundred and Fifty Thousand Dollars ($252,000)."</t>
  </si>
  <si>
    <t>For any Program Year in which the Program Goal is exceeded by ten percent (10%) or more, the Royalty will be increased by ten percent (10%) for such calendar year.</t>
  </si>
  <si>
    <t>4300</t>
  </si>
  <si>
    <t>For any calendar year, during years six (6) through eight (8) ofthe Initial Term, in which the Program Goal Total is exceeded for any calendar year, additional Royalty payments would be available as follows:: If x = 1-4%, x% exceeded = (x% * additional fee of n) + n; if x = 5-9%, x% exceeded = ((x% + 5%) * additional fee of n) + n; If x = 10% or greater = (20% * additional fee of n) + n.</t>
  </si>
  <si>
    <t>Ceiling (max) has been changed per this fact: PNC Bank will increase the royalty payment in the amount equal to One Thousand Dollars ($1,000) as prorated for the remaining months in the then current contract year after the ATM is installed in the "New Building". Thereafter, for each remaining year ofthe Term the Royalty shall be increased by an additional Twelve Thousand Dollars ($12,000) increasing the royalty to $332,000. The parties agree that seventy five point nine percent (75.9%) ofthe Royalty shall be guaranteed for said year (e.g. $252,000)."</t>
  </si>
  <si>
    <t xml:space="preserve">(i) an amount equal to the Royalty stated in paragraph 3(b) above for the applicable calendar year multiplied by a fraction, the numerator ofwhich is the number of new Accounts for the calendar year and the denominator of which is the Program Goal Total for that calendar year; or (ii) an amount equal to seventy-five percent (75%) of the Royalty stated in paragraph 3(b) for the applicable calendar year.
</t>
  </si>
  <si>
    <t xml:space="preserve">Year 1-3, $95 per account exceeding program goal. </t>
  </si>
  <si>
    <t xml:space="preserve">For ceiling (max), Year 1-3, $95 per account exceeding program goal. </t>
  </si>
  <si>
    <t xml:space="preserve">Year 4-5, $105 per account exceeding program goal. </t>
  </si>
  <si>
    <t xml:space="preserve">For ceiling (max), Year 4-5, $105 per account exceeding program goal. </t>
  </si>
  <si>
    <t xml:space="preserve">Year 6-7, $120 per account exceeding program goal. </t>
  </si>
  <si>
    <t xml:space="preserve">For ceiling (max), Year 6-7, $120 per account exceeding program goal. </t>
  </si>
  <si>
    <t>2022*</t>
  </si>
  <si>
    <t>2023*</t>
  </si>
  <si>
    <t>Year 8-10, $130 per account exceeding program goal.</t>
  </si>
  <si>
    <t>For ceiling (max), Year 8-10, $130 per account exceeding program goal.</t>
  </si>
  <si>
    <t>2024*</t>
  </si>
  <si>
    <t>2025*</t>
  </si>
  <si>
    <t>(i) exceeds the Total Program Goal by at least 5% and (ii) attains at least 95% of the New Workplace Accounts, PNC Bank shall pay Arcadia an annual bonus ("Annual Bonus") The Annual Bonus shall be calculated as follows: • If the Total Program Goal is exceeded by at least 5%, but not more than 10%, the Annual Bonus shall be equal to 10% ofthe sum of the Royalty Fee and the Licensing Fee for the applicable year. • If Total Program Goal is exceeded by more than 10%, the Annual Bonus shall be equal to 25% ofthe sum of the Royalty Fee and the Licensing Fee for the applicable year.</t>
  </si>
  <si>
    <t>N</t>
  </si>
  <si>
    <t>If x &lt; 5%, x% exceeded = (x% * additional fee of n) + n; if x = n &gt; 5%, x% exceeded = ((x% + 10%) * additional fee of n) + n; If x &gt; 10% or greater = (25% * additional fee of n) + n.</t>
  </si>
  <si>
    <t>(i) an amount equal to the Royalty stated in paragraph (b) above for the applicable calendar year multiplied by a fraction, the numerator of which is the number of new Accounts for the calendar year and the denominator of which is the Program Goal Total for that calendar year; or (ii) an amount equal to two-thirds (2/3) ofthe Royalty stated in paragraph (b) for the applicable calendar year.</t>
  </si>
  <si>
    <t>If x = 1(+.99)-4(+.99)%, x% exceeded = (x% * additional fee of n) + n; if x = 5(+.99)-9(+.99)%, x% exceeded = ((x% + 5%) * additional fee of n) + n; If x = 15% or greater = (20% * additional fee of n) + n</t>
  </si>
  <si>
    <t>As of the Effective Date of this Agreement for any calendar year in which a minimum of eighty percent (80%) of the Faculty/Staff goals have been met, and the Program Goal Total is exceeded, the Royalty will be increased for such calendar year using the percentage formula set fmih below.</t>
  </si>
  <si>
    <t>(i) an amount equal to the Royalty stated in paragraph 3(b) above for the applicable calendar year multiplied by a fraction, the numerator of which is the number of new Accounts for the calendar year and the denominator of which is the Program Expectation Total for that calendar year; or (ii) an amount equal to two-thirds (2/3rds) of the Royalty stated in paragraph 3(b) for the applicable calendar year.</t>
  </si>
  <si>
    <t>If x = 1(+.99)-4(+.99)%, x% exceeded = (x% * additional fee of n) + n; if x = 5(+.99)-9(+.99)%, x% exceeded = ((x% + 5%) * additional fee of n) + n; If x = 10% or greater = (20% * additional fee of n) + n</t>
  </si>
  <si>
    <t>PNC Bank shall pay to SJU for that calendar year a minimum Royalty Fee equal to the Royalty Fee stated in paragraph (c) above for the applicable calendar year multiplied by a fraction, the numerator ofwhich is the number ofnew Accounts for the calendar year and the denominator of which is the Program Goal (Total) for thatcalendaryear. Regardless of the amount of the Program Goal achieved in a calendar year,in no event shall the annual payment hereunder be less than 25% ofthe amount set forth in 3(c) above for each applicable year. For any year in which the card linking program is established and fully operational on or before July 31, PNC Bank shall pay SJU no less than 50% ofthe amount set forth in 3(c) above for such applicable year, and the subsequent years of the Term during which card linking remains in effect.</t>
  </si>
  <si>
    <t>If production is 120% of the Program Goal or more for any applicable year of the Program, PNC Bank shall also pay SJU an additional fifteen thousand dollars ($15,000.00) for such year.</t>
  </si>
  <si>
    <t>Effective January 1, 2011, for any calendar year in which the Program Goal Total is exceeded by five percent (5%) or more, the Royalty Fee will be increased by ten percent (10%) for such calendar year, so long as the WorkPlace Program Goal has been met.</t>
  </si>
  <si>
    <t>(a) above, PNC Bank will pay to University for any such calendar year a minimum guaranteed Royalty equal to the greater of (i) an amount equal to the Royalty stated in paragraph (b) above for the applicable calendar year multiplied by a fraction, the numerator of which ·is the number of new Accounts for the calendar year and the denominator ofwhich is the Program Expectations Total for that calendar year; or (ii) an amount equal to two-thirds (2/3") of the Royalty stated in
paragraph (b) for the applicable calendar year.</t>
  </si>
  <si>
    <t>As of the Effective Date ofthis Agreement for any calendar year in which a minimum of eighty percent (80%) of the Faculty/Staff Expectations have been met, and the Program Expectations Total is exceeded, the Royalty will be increased for such calendar year using the percentage formula set forth below. If x = 1-4%, x% exceeded = (x% * additional fee of n) + n; if x = 5-9%, x% exceeded = ((x% + 5%) * additional fee of n) + n; If x = 10% or greater = (20% * additional fee of n) + n</t>
  </si>
  <si>
    <t>(i) an amount equal to the Royalty stated in paragraph (b) above for the applicable calendar year multiplied by a fraction, the numerator of which is the number of new Accounts for the calendar year and the denominator of which is the Program Goal Total for that calendar year; or (ii) an amount equal to two-thirds (2/3'd') ofthe Royalty stated in paragraph (b) for the applicable calendar year.</t>
  </si>
  <si>
    <t>As of the Effective Date of this Agreement for any calendar year in which the Program Goal Total is exceeded by five percent (5%) or more, the Royalty will be increased by ten percent (10%) for such calendar year, provided a minimum of eighty percent (80%) of the Faculty/Staff goals have been met.</t>
  </si>
  <si>
    <t>(i) an amount equal to the Royalty stated in Section 3(b) above for the applicable calendar year multiplied by a fraction, the numerator of which is the number of new Accounts for the applicable calendar year and the denominator of which is the Program Expectations Total for that calendar year; or (ii) an amount equal to 75% ofthe Royalty stated in Section 3(b) above for the applicable calendar year.</t>
  </si>
  <si>
    <t>In any calendar year for which the Program Expectations Total (as set forth in Section 3(b) of this Agreement) is exceeded and at least 66.6% of the New Work Place Accounts expectations (as set forth in Section 3(b) of this Agreement) are met, PNC Banlc shall pay to the University additional payments as follows:  If x = 1-4%, x% exceeded = (x% * additional fee of n) + n; if x = 5-9%, x% exceeded = ((x% + 5%) * additional fee of n) + n; If x = 10% or greater = (20% * additional fee of n) + n</t>
  </si>
  <si>
    <t>(i) an amount equal to the Bonus Rent stated in paragraph (b) above for the applicable calendar year multiplied by a fraction, the numerator of which is the number of new accounts for the calendar year and the denominator of which is the Program Goal Total for that calendar year; or (ii) an amount equal to two-thirds (2/3rds) of the Bonus Rent stated in paragraph (b) for the applicable calendar year.</t>
  </si>
  <si>
    <t>As of the anniversary of the Effective Date for any calendar year in which a minimum of eighty percent (80%) of the Faculty/Staff goals have been met, and the Program Goal Total is exceeded, the Bonus Rent will be increased for such calendar year using the percentage formula set forth below. If x = 1(+.99)-4(+.99)%, x% exceeded = 0%; if x = 5(+.99)-14(+.99)%, x% exceeded = ((x% + 5%) * additional fee of n) + n; If x = 15% or greater = (20% * additional fee of n) + n</t>
  </si>
  <si>
    <t>As of the anniversary of the Effective Date for any calendar year in which a minimum of eighty percent (80%) of the Faculty/Staff goals have been met, and the Program Goal Total is exceeded, the Bonus Rent will be increased for such calendar year using the percentage formula set forth below. If x = 1(+.99)-4(+.99)%, x% exceeded = 0%; if x = 5(+.99), x% exceeded = (13% * additional fee of n) + n; if x = 6(+.99)-8(+.99), x% exceeded = (x%+9% (* additional fee of n)) + n; if x = 9(+.99)-11(+.99), x% exceeded = (x%+10% (* additional fee of n)) + n; if x = 12(+.99)-25(+.99), x% exceeded = (x%+11% (* additional fee of n)) + n; if If x = 15% or greater = (25% * additional fee of n) + n</t>
  </si>
  <si>
    <t>(i) an amount equal to the Royalty stated in paragraph 3(b) above for the applicable calendar year multiplied by a fraction, the numerator of which is the number of new Accounts for the calendar year and the denominator of which is the Program Goal Total for that calendar year; or (ii) an amount equal to two-thirds (2/3rds) of the Royalty stated in paragraph 3(b) for the applicable calendar year.</t>
  </si>
  <si>
    <t>As of the Effective Date of this Agreement for any calendar year in which the Program Goal Total is exceeded for any calendar year, and eighty percent (80%) of the Faculty/Staff goals have been met, additional Royalty payments would be available as follows: If x = 1-4%, x% exceeded = (x% * additional fee of n) + n; if x = 5-9%, x% exceeded = ((x% + 5%) * additional fee of n) + n; If x = 10% or greater = (20% * additional fee of n) + n</t>
  </si>
  <si>
    <t>(i) an amount equal to the Royalty stated in paragraph 3(b) above for the applicable calendar year multiplied by a fraction, the numerator of which is the number of new Accounts for the calendar year and the denominator of which is the Program Goal Total for that calendar year;  or (ii) in years 2015 and 2016 an amount equal to one-hundred percent (100%) of the Royalty stated in paragraph 3(b) for the applicable calendar year; or (iii) in years 2017, 2018, and 2019 an amount equal to seventy-five percent (75%) of the Royalty stated in paragraph 3(b) for the applicable calendar year. This Section 3(d) (iii) shall also be applicable in years 2020 and 2021 if the University renews this Agreement in accordance with Section 2 thereof.</t>
  </si>
  <si>
    <t>100 percent guaranteed</t>
  </si>
  <si>
    <t>If x &gt; 0%, x% exceeded = (x% * additional fee of n) + n</t>
  </si>
  <si>
    <t>As of the Effective Date of this Agreement for any calendar year in which the Program Goal Total is exceeded for any calendar year and at least seventy five percent (75%) of the WorkPlace Banking goal, as defined in able in Section 3(a) is met, additional Royalty payments would be available at increased increments of one percent for each one percent the total program goal is exceeded.</t>
  </si>
  <si>
    <t>(d) If in any academic year during the Term of this Agreement the New Student Enrollment is less than 3,250 (the "New Student Enrollment Benchmark"), PNC Bank may reduce the Annual Royalty Payment by a percentage equal to the ratio of the New Student Enrollment to the New Student Enrollment Benchmark. For example, should the New Student Enrollment for a given academic year equal 3,000, then the Annual Royalty Payment shall be equal to $276,900 (3,000 + 3,250 = 92.3%; $300,000 x 92.3% = $276,900). f in any academic year during the Term of this Agreement the Student Enrollment is less than 15,500 (the "Student Enrollment Benchmark"), PNC Banlc may reduce the Annual Royalty Payment by a percentage equal to the ratio of the Student Enrollment to the Student Enrollment Benchmark. For example, should the Student Enrollment for a given academic year equal 15,000, then the Annual Royalty Payment shall be equal to $290,400 (15,000 + 15,500 = 96.8%; $300,000 X 96.8% = $290,400). If in any academic year during the Term of this Agreement both the New Student Enrollment and the Student Enrollment are below the New Student Enrollment Benchmark and the Student Enrollment Benchmark, respectively, then the Annual Royalty Payment shall be equal to the lower amount due as calculated in accordance with subsections (d) and (e) above.</t>
  </si>
  <si>
    <t>Notwithstanding paragraph (b) above, in the event that University does not attain the Total Goal for any Fiscal Year as specified in paragraph (a) above, PNC Bank will pay to University for that Fiscal Year a minimum guaranteed Royalty equal to the greater of (i) an amount equal to the Royalty stated in paragraph (b) above for the applicable Fiscal Year multiplied by a fraction, the numerator of which is the number of new Accounts for the Fiscal Year and the denominator of which is the Total Goal for that calendar year; or (ii) an amount equal to seventy five percent (75%) of the Royalty stated in paragraph (b). For any Fiscal Year in which the Program Goal is exceeded by five percent (5%) or more, the Royalty will be increased by ten percent (10%) for such Fscal Year.</t>
  </si>
  <si>
    <t>If x &gt; 5%, x% exceeded = (10% * additional fee of n) + n</t>
  </si>
  <si>
    <t>1718</t>
  </si>
  <si>
    <t>(ii) Notwithstanding subsection 3(b), in the event that University does not attain the Program Goal Total for any Fiscal Year as specified in paragraph (a) above, except during years one (1) and two (2) of the Initial Term for which payments are one hundred percent (100%) guaranteed, PNC Bank will pay to University for any such Fiscal Year a minimum guaranteed Royalty equal to the greater of (i) an amount equal to the Royalty stated in paragraph 3(b) above for the applicable Fiscal Year multiplied by a fraction, the numerator of which is the number of new accounts for the Fiscal Year and the denominator of which is the Program Goal Total for that Fiscal Year; or (ii) an amount equal to three fourths (3/4ths)of the Royalty stated in paragraph 3(b) for the applicable Fiscal Year.</t>
  </si>
  <si>
    <t>If x &lt; 5%, x% exceeded = (x% * additional fee of n) + n; if x = n &gt; 5%, x% exceeded = ((x% + 10%) * additional fee of n) + n; If x &gt; 10% or greater = (20% * additional fee of n) + n.</t>
  </si>
  <si>
    <t>Notwithstanding subsection 3(c), in the event that University does not attain the Program Goal Total for any calendar year as specified in paragraph (b) above, PNC Bank will pay to University for any such calendar year a minimum guaranteed Royalty equal to the greater of: (i) an alllount equal to the Royalty stated in paragraph 3(c) above for the applicable calendar year multiplied by a fraction, the numerator of which is the number of new Accounts for the calendar year and the denominator of which is the Prograin Goal Total for that calendai· year; or (ii) an amount equal to two-thirds (2/3rds) of the Royalty stated in pai·agraph 3(c) for the applicable calendar year.</t>
  </si>
  <si>
    <t xml:space="preserve">Notwithstanding subsection 3(b), in the event that Total Program Expectations are not attained for any calendar year as specified in paragraph (a) above, PNC Bank will pay to University for any such calendar year a minimum guaranteed Royalty equal to the greater of (i) an amount equal to the Royalty stated in paragraph 3(b) above for the applicable fiscal year multiplied by a fraction, the numerator of which is the number of new Accounts for the fiscal year and the denominator of which is the Program Expectations Total for that fiscal year; or (ii) an amount equal to seventy five percent or (3/4ths)of the Royalty stated in paragraph 3(b) for the applicable calendar year.
</t>
  </si>
  <si>
    <t>per Account</t>
  </si>
  <si>
    <t>What</t>
  </si>
  <si>
    <t>Annual Minimum</t>
  </si>
  <si>
    <t>Years 2 through completion, U.S. Bank will pay Johnson County Community College an annual royalty payment, payable within 30 days of the anniversary date of the first card issued. The payment will be calculated based on active new accounts obtained each year. Johnson County Community College will receive $15 for each active new account, with a minimum annual guarantee of $5,000.</t>
  </si>
  <si>
    <t>for each active new account</t>
  </si>
  <si>
    <t>each eligible checking account</t>
  </si>
  <si>
    <t>Bank will pay University $8.00 for each eligible checking account linked to the Lot 3 Gator I Card for the purpose of ATM/PIN debit functionality and owned by a University student, faculty or staff member. This payment will be made in October of each year during the term of this Agreement. The number of University Lot 3 Gator I Card Bank Accounts, for purposes of the Account Royalty computation, will be determined by Bank, based upon the number of eligible checking accotmts which have a linked Lot 3 Gator 1 Card. Bank will use discrete product and customer identification and v.rill only pay University a one time royalty payment for each student, faculty or staff who links their Lot 3 Gator 1 Card to a new Wachovia checking account and maintains this account for one (1) year.</t>
  </si>
  <si>
    <t>Card Costs, aka Stock and Ribbon</t>
  </si>
  <si>
    <t>Once a 50% participation level is reached, Bank Will pay $1,500 per year to help offset the University's day-to-day carding expenses.</t>
  </si>
  <si>
    <t>Bank will pay for all card stock and ribbon expenses, up to $1.00 per card for all College students, faculty and staff to receive a new ID Card with the Bank partnership. Once a 50% participation level is reached, U.S. Bank will pay for all card stock and printer ribbon expenses, up to $1.00 per card, on an ongoing basis.</t>
  </si>
  <si>
    <t>Bank will pay for all card stock and ribbon expenses, up to $1.00 per card (maximum of $4,600) at the onset of the contract for the purpose of issuing new ID Cards which allow Banking Services to all University students, faculty and staff. University remains responsible for all day-to-day carding expenses. Once a 50% participation level is reached, Bank will pay $1,000 per year to help offset the University's day-to-day carding expenses.</t>
  </si>
  <si>
    <t>Bank will pay for the actual card stock and ribbon expense, up to $1.00 per card (maximum of $3,100) incurred during the initial re-carding event to all University students. The expenses must be incurred within 12 months of a signed contract to be eligible for reimbursement. Once a 50% student participation level is reached, U.S. Bank will pay an additional $1,000 per year for on-going card stock and ribbon expense.</t>
  </si>
  <si>
    <t>Expense Contributions - upon achievement of a 50 percent student participation level, U.S. Bankwill pay an additional $1,700 per year for on-going card stock and ribbon expense.</t>
  </si>
  <si>
    <t>Bank will pay up to $1.00 of the actual cost of the plastic card stock for each Warrior Card issued to Eligible University Community Members during the Term of the Agreement.</t>
  </si>
  <si>
    <t>Lump sum per year, see Time-based compensation</t>
  </si>
  <si>
    <t>Bank will pay up to $1.00 for each WolfCard issued to Eligible University Community Members during the Term of the Agreement.</t>
  </si>
  <si>
    <t>Bank will pay up to $1.00 of the actual cost of the plastic card stock for the first SandDollar$ Card issued to Eligible TAMU-CC Community Members during the Term of this Agreement.</t>
  </si>
  <si>
    <t>Bank will pay up to $1.00 of the actual plastic card stock for both versions of the Bobcat Card issued during re-carding to Eligible University Community Members. The versions include the standard University ID ·card and the Bobcat Card that can be linked to a Bank checking account for A TM/PIN-based debit functionality. 
Bank will continue to pay ·up to $1.00 for the actual plastic card stock for both versions of the
Bobcat Card for all new and triffiSferring Eligible University Community Members during the
Term of Agreement.</t>
  </si>
  <si>
    <t>Bank will cover the actual cost of card stock up to $1.00 per card for issuance of new CSUDH Cards for the term of the conh·act. Bank will pay up to $3,000.00 annually of the actual cost of the plastic card stock for the CSUDI-I Card issued to Eligible University Community Members during the Term of the Agreement. It is Bank's preference to re-card the entire campus; in this case Bank will cover the one-time cost of the cmd replacement, which is estimated to be up to $15,000.00.</t>
  </si>
  <si>
    <t xml:space="preserve">Wells Fargo will cover the actual cost of card stock up to One and 00/100 Dollars ($1.00) per card for issuance of new MavCards. These cards will have the appropriate banking information on the cards as agreed upon by the University and Wells Fargo and approved by the networks. Wells Fargo will not pay for replacement MavCards issued to Eligible University Community Members if they are lost or stolen. It is at University's discretion whether to charge Eligible University Community Members for replacement MavCARDs. If Wells Fargo requires a MavCard to replaced and authorizes replacement at no cost to the card holder, it is agreed that Wells Fargo will cover the replacement fees which is currently Fifteen and 00/100 Dollars ($15.00). </t>
  </si>
  <si>
    <t>Provide $10,000 towards the initial cost of new University ID Cards issued to the campus community (which shall be in addition to all other payments contemplated by this Agreement); See Time-based compensation</t>
  </si>
  <si>
    <t>Provide $30,000 towards the initial cost of re-carding the campus. See Time-based compensation</t>
  </si>
  <si>
    <t>Provide $75,000 towards the initial cost of re-carding the campus. See Time-based compensation</t>
  </si>
  <si>
    <t>In addition, PNC Bank will pay University, as a guaranteed payment, ..., and $25,000 to be paid toward re-carding efforts.</t>
  </si>
  <si>
    <t xml:space="preserve">If ID-Card Linking is established by August 1, 2009, PNC Bank shall pay At·cadia an ID-Card Linking Bonus of Five Thousand Dollars ($5,000) in addition to a Five Thousand Dollar ($5,000) Card Restocking Fee. Said ID-Card Linking Bonus and Card Restocking Fee shall be paid by PNC Bank to Arcadia by September 30, 2009. See Time-based compensation. </t>
  </si>
  <si>
    <t>PNC Bank shalll also pay to the university within thirty (30) days of the date signed by the party last to execute the Agreement a one-time carding allowance in the amount of One Hundred and Fifty Thousand Dollars ($150.000). University shall not have any obligation to reissue new i-cards to the Constituents currently enrolled at the University; provided, however, that, subject to PNC Bank obtaining required regulatory approval and notifying University of such approval, all i-cards subsequently issued to newly enrolled Constituents shall include the appropriate PNC Bank Marks. Notwithstanding the foregoing, the University shall issue new i-cards (with the appropriate PNC Bank Marks) free of charge to those enrolled Constituents who request the ability to link their i-card to a PNC Bank Account and who tender their current i-card to the University. See Time-based compensation</t>
  </si>
  <si>
    <t>Provide $15,000 towards the initial cost of re-carding the campus to be paid upon the commencement o f the ID Linking implementation project. Provide an additional $5,000 towards the initial cost of re-carding the campus if the ID Linking is completed by December 31,2012. See Time-based compensation</t>
  </si>
  <si>
    <t>A. PNC Bank will pay the lesser of (a) $30,000 or (b) the cost of issuing OneCards with capability to Link to all students, faculty and staff within the first year of this linking Agreement, payable within thirty (30) days of the OneCard issuance.</t>
  </si>
  <si>
    <t>Provide to University a payment of $35,000 towards the initial cost of re- carding the campus payable to the University upon the launch of a project to implement the service; and</t>
  </si>
  <si>
    <t>U.S. Bank will pay for all actual card stock and ribbon expenses, up to $1.00 per card, incurred during the initial re-carding event to all University students. Once a 50% student participation level is reached, U.S. Bank will pay an additional $4,000 per year for on-going card stock and ribbon expense. Should the University implement the Maxx Card, U.S. Bank will provide all Maxx card stock at no charge.</t>
  </si>
  <si>
    <t>Bank will pay University a one-time re-carding allowance of $25,000 toward the cost of re-carding for an anticipated future change to new campus card plastic.</t>
  </si>
  <si>
    <t>U.S. Bank will pay for the actual card stock and ribbon expe nse (up to $15,000) incurred during the initial re-carding event to all University students. The re-carding expenses must be incurred within 12 months of a signed contract to be eligible for reimbursement.</t>
  </si>
  <si>
    <t>US Bank shall pay for all card stock; to include US Bank logo; (including ribbon) at $1.00 per card for a total amount of Thirty Three Thousand Five Hundred and 00/100 ($33,500.00) payable within 30 days of the final execution of
the Agreement. Once a 50% student participation level (50% of students have US Bank checking accounts) , US Bank shall pay for all card stock and ribbon expenses, up to $1 per card, on an ongoing basis, payable annually .</t>
  </si>
  <si>
    <t>Bank will pay up to the sum of $16,500 annually to cover costs for the UNG Card issued to Eligible University Community Members during the Term of the Agreement.</t>
  </si>
  <si>
    <t>If the University elects to link its University ID cards with Accounts, provide to University a payment of $35,000 towards the initial cost of re- carding the campus payable to the University upon the launch of a project to implement the service; and</t>
  </si>
  <si>
    <t>Percentage of the surcharge revenue</t>
  </si>
  <si>
    <t>SLU will receive TEN CENTS ($0.10) per non-Bank cash transaction. Additionally, Bank will share a percentage of the surcharge revenue on the following payment schedule per ATM.</t>
  </si>
  <si>
    <t>Percentage of the merchant discount</t>
  </si>
  <si>
    <t>TAMUCC receives 25% of 2.5% charge transaction Merchant Discount Fee.</t>
  </si>
  <si>
    <t>Performance bonus</t>
  </si>
  <si>
    <t>One-time</t>
  </si>
  <si>
    <t>Not tied to date</t>
  </si>
  <si>
    <t>$10,000.00, if exceed 21% penetration by year 2 or 3.*</t>
  </si>
  <si>
    <t>One-time bonus</t>
  </si>
  <si>
    <t xml:space="preserve">In addition to the initial royalty payment, upon execution of this Agreement and execution of the Reitz Union Branch contract Bank will pay University a one time bonus of $25,000. </t>
  </si>
  <si>
    <t>Royalty penalty</t>
  </si>
  <si>
    <t>1. The parties mutually agree that each year after the first year ofthis Agreement, in which University and Bank have not mutually agreed to a location for theE-Branch, the Fixed Annual Royalty shall be reduced by a total often percent (10%). 2. The parties mutually agree that the Fixed Annual Royalty shall be reduced by the amount o f Rent Payments due under the fully executed E-branch Lease.</t>
  </si>
  <si>
    <t>ATM and Site One-type capital contributions</t>
  </si>
  <si>
    <t>Electronic Financial Services Facility: $190,000.00 / (12) new ATM machines: $236,256.00</t>
  </si>
  <si>
    <t>(h) The Annual Royalty may be reduced by an amount not in excess of fifteen percent (15%) annually ifthe University decides not to implement, or to cancel, ID Card Linking.</t>
  </si>
  <si>
    <t>Reimbursement for bad payment</t>
  </si>
  <si>
    <t>Bank had previously made an excess royalty payment of $20.000 for the year 2012 (the "Excess Payment") pursuant to the UNNERSITY OF SAN' DIEGO ID CARD AND BANKING SERVICES AGREEMENT dated as ofJune!S, 2008.</t>
  </si>
  <si>
    <t>Uncatagorized Incentive</t>
  </si>
  <si>
    <t xml:space="preserve">PNC Bank shall also provide to the University Additional Annual Royalty Payments if the following new Account volume thresholds are obtained by PNC Bank during a Contract Year. with such Additional Annual Royalty Payments. if any. to be paid by PNC Bank to the University on September I following the end of each Contract Year, except that during the final Contract Year of the Initial Term. any Additional Annual Royalty Payment shall be due on July I, 2025. New accounts volume is 4681-7200: $200 per account; New accounts volume is 7201 UP TO 7920: $250 per account. </t>
  </si>
  <si>
    <t>Penalty for late rent</t>
  </si>
  <si>
    <t>In the event that any monthly installment of Rent or any payment o f Additional Rent shall be past due for more than five (5) days, Lessee shall pay to Lessor as Additional Rent a late charge equal to five percent (5%) ofthe unpaid Rental, or, ifthe unpaid Rental shaH be past due for more than thirty (30) days, interest at the rate offifteen percent (15%) per annum. The late charge imposed under this paragraph is not a penalty and has been agreed to by Lessor and Lessee as necessary to compensate Lessor for its additional costs associated with handling the late payment.</t>
  </si>
  <si>
    <t>Provided that Lessor can do so without violating the terms ofany existing agreement to which it is a party, Lessor agrees to engage in good faith discussions regarding the best manner to implement a program linking the University ID Card to accounts, upon the request of the account owner, ("ID Card Linking") which shall be established no later than December 31, 2014. Until such time as the ID Card Linking is implemented the Lessee will reduce the Program Goals and Bonus Rent payment by "") twenty-five percent (25%).</t>
  </si>
  <si>
    <t>In the event that Landlord has not received any lease payment from Tenant within  five (5) days after the date on which such payment is due, Tenant shall pay Landlord a late charge equal to One Hundred Fifty ($150) Dollars per month for each unpaid monthly payment until paid.</t>
  </si>
  <si>
    <t>Alumni Royalty</t>
  </si>
  <si>
    <t>Per account</t>
  </si>
  <si>
    <t>a Royalty of twenty five dollars ($25.00) per new Alumni checking account;</t>
  </si>
  <si>
    <t xml:space="preserve">a Royalty often dollars ($10.00) per new Alumni savings account; and
</t>
  </si>
  <si>
    <t>an amount equal to two percent (2%) of the annual interest paid to
Alumni.</t>
  </si>
  <si>
    <t>Rental</t>
  </si>
  <si>
    <t xml:space="preserve">This payment is in addition to the guaranteed annual branch rent. </t>
  </si>
  <si>
    <t>1/2 Off Terminals/PIN Pads</t>
  </si>
  <si>
    <t>Per purchase</t>
  </si>
  <si>
    <t>Wells Fargo will reduce the price of the Verifone Vx570 from $599 to $299 per terminal and the Verifone 1000SEfrom $144 to $72 per PIN Pad.</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</si>
</sst>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m/d/yyyy"/>
    <numFmt numFmtId="166" formatCode="m/d/yy"/>
    <numFmt numFmtId="167" formatCode="&quot;$&quot;#,##0"/>
    <numFmt numFmtId="168" formatCode="&quot;$&quot;#,##0.00"/>
    <numFmt numFmtId="169" formatCode="yyyy-mm"/>
    <numFmt numFmtId="170" formatCode="yyyy-m"/>
    <numFmt numFmtId="171" formatCode="#,##0.0"/>
    <numFmt numFmtId="172" formatCode="0.0"/>
    <numFmt numFmtId="173" formatCode="_(&quot;$&quot;* #,##0.00_);_(&quot;$&quot;* \(#,##0.00\);_(&quot;$&quot;* &quot;-&quot;??_);_(@_)"/>
  </numFmts>
  <fonts count="7">
    <font>
      <sz val="10.0"/>
      <color rgb="FF000000"/>
      <name val="Arial"/>
    </font>
    <font>
      <b/>
      <name val="Arial"/>
    </font>
    <font>
      <color rgb="FF000000"/>
      <name val="Arial"/>
    </font>
    <font>
      <name val="Arial"/>
    </font>
    <font>
      <color rgb="FF000000"/>
    </font>
    <font/>
    <font>
      <sz val="11.0"/>
      <color rgb="FF000000"/>
      <name val="Times"/>
    </font>
  </fonts>
  <fills count="8">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EAD1DC"/>
        <bgColor rgb="FFEAD1DC"/>
      </patternFill>
    </fill>
    <fill>
      <patternFill patternType="solid">
        <fgColor rgb="FF00FF00"/>
        <bgColor rgb="FF00FF00"/>
      </patternFill>
    </fill>
    <fill>
      <patternFill patternType="solid">
        <fgColor rgb="FFF4CCCC"/>
        <bgColor rgb="FFF4CCCC"/>
      </patternFill>
    </fill>
  </fills>
  <borders count="1">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2" fontId="1" numFmtId="49" xfId="0" applyAlignment="1" applyFill="1" applyFont="1" applyNumberFormat="1">
      <alignment horizontal="right" readingOrder="0" vertical="bottom"/>
    </xf>
    <xf borderId="0" fillId="2" fontId="1" numFmtId="0" xfId="0" applyAlignment="1" applyFont="1">
      <alignment vertical="bottom"/>
    </xf>
    <xf borderId="0" fillId="2" fontId="1" numFmtId="0" xfId="0" applyAlignment="1" applyFont="1">
      <alignment horizontal="left" readingOrder="0" vertical="bottom"/>
    </xf>
    <xf borderId="0" fillId="2" fontId="1" numFmtId="0" xfId="0" applyAlignment="1" applyFont="1">
      <alignment readingOrder="0" vertical="bottom"/>
    </xf>
    <xf borderId="0" fillId="3" fontId="2" numFmtId="49" xfId="0" applyAlignment="1" applyFill="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vertical="bottom"/>
    </xf>
    <xf borderId="0" fillId="0" fontId="2" numFmtId="164" xfId="0" applyAlignment="1" applyFont="1" applyNumberFormat="1">
      <alignment horizontal="left" readingOrder="0" vertical="bottom"/>
    </xf>
    <xf borderId="0" fillId="0" fontId="2" numFmtId="165" xfId="0" applyAlignment="1" applyFont="1" applyNumberFormat="1">
      <alignment horizontal="right" readingOrder="0" vertical="bottom"/>
    </xf>
    <xf borderId="0" fillId="4" fontId="2" numFmtId="0" xfId="0" applyAlignment="1" applyFill="1" applyFont="1">
      <alignment horizontal="left" readingOrder="0" vertical="bottom"/>
    </xf>
    <xf borderId="0" fillId="0" fontId="3" numFmtId="0" xfId="0" applyAlignment="1" applyFont="1">
      <alignment vertical="bottom"/>
    </xf>
    <xf borderId="0" fillId="0" fontId="2" numFmtId="164" xfId="0" applyAlignment="1" applyFont="1" applyNumberFormat="1">
      <alignment horizontal="left" vertical="bottom"/>
    </xf>
    <xf borderId="0" fillId="0" fontId="2" numFmtId="165" xfId="0" applyAlignment="1" applyFont="1" applyNumberFormat="1">
      <alignment horizontal="right" vertical="bottom"/>
    </xf>
    <xf borderId="0" fillId="3" fontId="2" numFmtId="49" xfId="0" applyAlignment="1" applyFont="1" applyNumberFormat="1">
      <alignment horizontal="right" readingOrder="0"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166" xfId="0" applyAlignment="1" applyFont="1" applyNumberFormat="1">
      <alignment readingOrder="0" vertical="bottom"/>
    </xf>
    <xf borderId="0" fillId="0" fontId="3" numFmtId="0" xfId="0" applyAlignment="1" applyFont="1">
      <alignment readingOrder="0" vertical="bottom"/>
    </xf>
    <xf borderId="0" fillId="5" fontId="2" numFmtId="0" xfId="0" applyAlignment="1" applyFill="1" applyFont="1">
      <alignment horizontal="left" vertical="bottom"/>
    </xf>
    <xf borderId="0" fillId="3" fontId="2" numFmtId="0" xfId="0" applyAlignment="1" applyFont="1">
      <alignment horizontal="left" readingOrder="0" vertical="bottom"/>
    </xf>
    <xf borderId="0" fillId="0" fontId="2" numFmtId="165" xfId="0" applyAlignment="1" applyFont="1" applyNumberFormat="1">
      <alignment readingOrder="0" vertical="bottom"/>
    </xf>
    <xf borderId="0" fillId="0" fontId="4" numFmtId="164" xfId="0" applyAlignment="1" applyFont="1" applyNumberFormat="1">
      <alignment horizontal="left" readingOrder="0"/>
    </xf>
    <xf borderId="0" fillId="0" fontId="4" numFmtId="0" xfId="0" applyAlignment="1" applyFont="1">
      <alignment readingOrder="0"/>
    </xf>
    <xf borderId="0" fillId="0" fontId="4" numFmtId="165" xfId="0" applyAlignment="1" applyFont="1" applyNumberFormat="1">
      <alignment readingOrder="0"/>
    </xf>
    <xf borderId="0" fillId="0" fontId="4" numFmtId="0" xfId="0" applyFont="1"/>
    <xf borderId="0" fillId="0" fontId="2" numFmtId="164" xfId="0" applyAlignment="1" applyFont="1" applyNumberFormat="1">
      <alignment horizontal="right" readingOrder="0" vertical="bottom"/>
    </xf>
    <xf borderId="0" fillId="3" fontId="2" numFmtId="0" xfId="0" applyAlignment="1" applyFont="1">
      <alignment vertical="bottom"/>
    </xf>
    <xf borderId="0" fillId="3" fontId="5" numFmtId="49" xfId="0" applyAlignment="1" applyFont="1" applyNumberFormat="1">
      <alignment horizontal="right" readingOrder="0"/>
    </xf>
    <xf borderId="0" fillId="0" fontId="5" numFmtId="0" xfId="0" applyAlignment="1" applyFont="1">
      <alignment readingOrder="0"/>
    </xf>
    <xf borderId="0" fillId="0" fontId="5" numFmtId="164" xfId="0" applyAlignment="1" applyFont="1" applyNumberFormat="1">
      <alignment horizontal="left" readingOrder="0"/>
    </xf>
    <xf borderId="0" fillId="6" fontId="5" numFmtId="0" xfId="0" applyAlignment="1" applyFill="1" applyFont="1">
      <alignment readingOrder="0"/>
    </xf>
    <xf borderId="0" fillId="0" fontId="5" numFmtId="166" xfId="0" applyAlignment="1" applyFont="1" applyNumberFormat="1">
      <alignment readingOrder="0"/>
    </xf>
    <xf borderId="0" fillId="0" fontId="5" numFmtId="165" xfId="0" applyAlignment="1" applyFont="1" applyNumberFormat="1">
      <alignment readingOrder="0"/>
    </xf>
    <xf borderId="0" fillId="0" fontId="5" numFmtId="165" xfId="0" applyAlignment="1" applyFont="1" applyNumberFormat="1">
      <alignment horizontal="left" readingOrder="0"/>
    </xf>
    <xf borderId="0" fillId="0" fontId="2" numFmtId="0" xfId="0" applyAlignment="1" applyFont="1">
      <alignment vertical="bottom"/>
    </xf>
    <xf borderId="0" fillId="0" fontId="5" numFmtId="0" xfId="0" applyFont="1"/>
    <xf borderId="0" fillId="0" fontId="2" numFmtId="49" xfId="0" applyAlignment="1" applyFont="1" applyNumberFormat="1">
      <alignment horizontal="right" readingOrder="0" vertical="bottom"/>
    </xf>
    <xf borderId="0" fillId="7" fontId="5" numFmtId="0" xfId="0" applyAlignment="1" applyFill="1" applyFont="1">
      <alignment readingOrder="0"/>
    </xf>
    <xf borderId="0" fillId="0" fontId="4" numFmtId="164" xfId="0" applyAlignment="1" applyFont="1" applyNumberFormat="1">
      <alignment readingOrder="0"/>
    </xf>
    <xf borderId="0" fillId="0" fontId="5" numFmtId="49" xfId="0" applyAlignment="1" applyFont="1" applyNumberFormat="1">
      <alignment horizontal="right" readingOrder="0"/>
    </xf>
    <xf borderId="0" fillId="0" fontId="3" numFmtId="49" xfId="0" applyAlignment="1" applyFont="1" applyNumberFormat="1">
      <alignment horizontal="right" vertical="bottom"/>
    </xf>
    <xf borderId="0" fillId="0" fontId="3" numFmtId="0" xfId="0" applyAlignment="1" applyFont="1">
      <alignment vertical="bottom"/>
    </xf>
    <xf borderId="0" fillId="3" fontId="2" numFmtId="0" xfId="0" applyAlignment="1" applyFont="1">
      <alignment vertical="bottom"/>
    </xf>
    <xf borderId="0" fillId="4" fontId="5" numFmtId="49" xfId="0" applyAlignment="1" applyFont="1" applyNumberFormat="1">
      <alignment horizontal="right"/>
    </xf>
    <xf borderId="0" fillId="4" fontId="5" numFmtId="0" xfId="0" applyAlignment="1" applyFont="1">
      <alignment readingOrder="0"/>
    </xf>
    <xf borderId="0" fillId="4" fontId="5" numFmtId="0" xfId="0" applyFont="1"/>
    <xf borderId="0" fillId="4" fontId="5" numFmtId="164" xfId="0" applyAlignment="1" applyFont="1" applyNumberFormat="1">
      <alignment horizontal="left"/>
    </xf>
    <xf borderId="0" fillId="0" fontId="5" numFmtId="49" xfId="0" applyAlignment="1" applyFont="1" applyNumberFormat="1">
      <alignment horizontal="right"/>
    </xf>
    <xf borderId="0" fillId="0" fontId="5" numFmtId="164" xfId="0" applyAlignment="1" applyFont="1" applyNumberFormat="1">
      <alignment horizontal="left"/>
    </xf>
    <xf borderId="0" fillId="2" fontId="3" numFmtId="0" xfId="0" applyAlignment="1" applyFont="1">
      <alignment horizontal="left" vertical="bottom"/>
    </xf>
    <xf borderId="0" fillId="2" fontId="3" numFmtId="49" xfId="0" applyAlignment="1" applyFont="1" applyNumberFormat="1">
      <alignment horizontal="right" readingOrder="0" vertical="bottom"/>
    </xf>
    <xf borderId="0" fillId="2" fontId="3" numFmtId="0" xfId="0" applyAlignment="1" applyFont="1">
      <alignment vertical="bottom"/>
    </xf>
    <xf borderId="0" fillId="2" fontId="2" numFmtId="167" xfId="0" applyAlignment="1" applyFont="1" applyNumberFormat="1">
      <alignment readingOrder="0" vertical="bottom"/>
    </xf>
    <xf borderId="0" fillId="2" fontId="3" numFmtId="0" xfId="0" applyAlignment="1" applyFont="1">
      <alignment readingOrder="0" vertical="bottom"/>
    </xf>
    <xf borderId="0" fillId="2" fontId="2" numFmtId="168" xfId="0" applyAlignment="1" applyFont="1" applyNumberFormat="1">
      <alignment readingOrder="0" vertical="bottom"/>
    </xf>
    <xf borderId="0" fillId="3" fontId="2" numFmtId="0" xfId="0" applyAlignment="1" applyFont="1">
      <alignment horizontal="left" readingOrder="0" vertical="bottom"/>
    </xf>
    <xf borderId="0" fillId="3" fontId="2" numFmtId="0" xfId="0" applyAlignment="1" applyFont="1">
      <alignment readingOrder="0" vertical="bottom"/>
    </xf>
    <xf borderId="0" fillId="0" fontId="2" numFmtId="167" xfId="0" applyAlignment="1" applyFont="1" applyNumberFormat="1">
      <alignment horizontal="right" readingOrder="0" vertical="bottom"/>
    </xf>
    <xf borderId="0" fillId="0" fontId="2" numFmtId="0" xfId="0" applyAlignment="1" applyFont="1">
      <alignment horizontal="right" readingOrder="0" vertical="bottom"/>
    </xf>
    <xf borderId="0" fillId="0" fontId="2" numFmtId="167" xfId="0" applyAlignment="1" applyFont="1" applyNumberFormat="1">
      <alignment horizontal="right" vertical="bottom"/>
    </xf>
    <xf borderId="0" fillId="0" fontId="2" numFmtId="0" xfId="0" applyAlignment="1" applyFont="1">
      <alignment horizontal="right" vertical="bottom"/>
    </xf>
    <xf borderId="0" fillId="3" fontId="2" numFmtId="0" xfId="0" applyAlignment="1" applyFont="1">
      <alignment readingOrder="0" vertical="bottom"/>
    </xf>
    <xf borderId="0" fillId="3" fontId="2" numFmtId="0" xfId="0" applyAlignment="1" applyFont="1">
      <alignment vertical="bottom"/>
    </xf>
    <xf borderId="0" fillId="0" fontId="5" numFmtId="167" xfId="0" applyAlignment="1" applyFont="1" applyNumberFormat="1">
      <alignment readingOrder="0"/>
    </xf>
    <xf borderId="0" fillId="0" fontId="2" numFmtId="168" xfId="0" applyAlignment="1" applyFont="1" applyNumberFormat="1">
      <alignment horizontal="right" readingOrder="0" vertical="bottom"/>
    </xf>
    <xf borderId="0" fillId="3" fontId="4" numFmtId="0" xfId="0" applyAlignment="1" applyFont="1">
      <alignment horizontal="left" readingOrder="0"/>
    </xf>
    <xf borderId="0" fillId="0" fontId="2" numFmtId="168" xfId="0" applyAlignment="1" applyFont="1" applyNumberFormat="1">
      <alignment horizontal="right" vertical="bottom"/>
    </xf>
    <xf borderId="0" fillId="3" fontId="4" numFmtId="49" xfId="0" applyAlignment="1" applyFont="1" applyNumberFormat="1">
      <alignment horizontal="right" readingOrder="0"/>
    </xf>
    <xf borderId="0" fillId="3" fontId="4" numFmtId="0" xfId="0" applyAlignment="1" applyFont="1">
      <alignment readingOrder="0"/>
    </xf>
    <xf borderId="0" fillId="0" fontId="4" numFmtId="167" xfId="0" applyAlignment="1" applyFont="1" applyNumberFormat="1">
      <alignment readingOrder="0"/>
    </xf>
    <xf borderId="0" fillId="3" fontId="5" numFmtId="167" xfId="0" applyAlignment="1" applyFont="1" applyNumberFormat="1">
      <alignment readingOrder="0"/>
    </xf>
    <xf borderId="0" fillId="3" fontId="5" numFmtId="0" xfId="0" applyAlignment="1" applyFont="1">
      <alignment readingOrder="0"/>
    </xf>
    <xf borderId="0" fillId="0" fontId="5" numFmtId="168" xfId="0" applyAlignment="1" applyFont="1" applyNumberFormat="1">
      <alignment readingOrder="0"/>
    </xf>
    <xf borderId="0" fillId="0" fontId="5" numFmtId="168" xfId="0" applyFont="1" applyNumberFormat="1"/>
    <xf borderId="0" fillId="3" fontId="2" numFmtId="49" xfId="0" applyAlignment="1" applyFont="1" applyNumberFormat="1">
      <alignment horizontal="right" vertical="bottom"/>
    </xf>
    <xf borderId="0" fillId="0" fontId="5" numFmtId="0" xfId="0" applyAlignment="1" applyFont="1">
      <alignment horizontal="left" readingOrder="0"/>
    </xf>
    <xf borderId="0" fillId="4" fontId="5" numFmtId="0" xfId="0" applyAlignment="1" applyFont="1">
      <alignment horizontal="left"/>
    </xf>
    <xf borderId="0" fillId="4" fontId="5" numFmtId="167" xfId="0" applyFont="1" applyNumberFormat="1"/>
    <xf borderId="0" fillId="0" fontId="5" numFmtId="0" xfId="0" applyAlignment="1" applyFont="1">
      <alignment horizontal="left"/>
    </xf>
    <xf borderId="0" fillId="0" fontId="5" numFmtId="167" xfId="0" applyFont="1" applyNumberFormat="1"/>
    <xf borderId="0" fillId="2" fontId="3" numFmtId="168" xfId="0" applyAlignment="1" applyFont="1" applyNumberFormat="1">
      <alignment readingOrder="0" vertical="bottom"/>
    </xf>
    <xf borderId="0" fillId="2" fontId="5" numFmtId="168" xfId="0" applyAlignment="1" applyFont="1" applyNumberFormat="1">
      <alignment readingOrder="0"/>
    </xf>
    <xf borderId="0" fillId="2" fontId="5" numFmtId="0" xfId="0" applyAlignment="1" applyFont="1">
      <alignment readingOrder="0"/>
    </xf>
    <xf borderId="0" fillId="2" fontId="5" numFmtId="0" xfId="0" applyFont="1"/>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3" fontId="5" numFmtId="0" xfId="0" applyAlignment="1" applyFont="1">
      <alignment horizontal="left" readingOrder="0"/>
    </xf>
    <xf borderId="0" fillId="3" fontId="5" numFmtId="168" xfId="0" applyAlignment="1" applyFont="1" applyNumberFormat="1">
      <alignment readingOrder="0"/>
    </xf>
    <xf borderId="0" fillId="3" fontId="5" numFmtId="168" xfId="0" applyFont="1" applyNumberFormat="1"/>
    <xf borderId="0" fillId="3" fontId="5" numFmtId="0" xfId="0" applyFont="1"/>
    <xf borderId="0" fillId="4" fontId="5" numFmtId="168" xfId="0" applyFont="1" applyNumberFormat="1"/>
    <xf borderId="0" fillId="4" fontId="5" numFmtId="0" xfId="0" applyFont="1"/>
    <xf borderId="0" fillId="0" fontId="2" numFmtId="49" xfId="0" applyAlignment="1" applyFont="1" applyNumberFormat="1">
      <alignment horizontal="right" readingOrder="0" vertical="bottom"/>
    </xf>
    <xf borderId="0" fillId="0" fontId="4" numFmtId="168" xfId="0" applyAlignment="1" applyFont="1" applyNumberFormat="1">
      <alignment readingOrder="0"/>
    </xf>
    <xf borderId="0" fillId="0" fontId="5" numFmtId="168" xfId="0" applyAlignment="1" applyFont="1" applyNumberFormat="1">
      <alignment readingOrder="0"/>
    </xf>
    <xf borderId="0" fillId="0" fontId="2" numFmtId="0" xfId="0" applyAlignment="1" applyFont="1">
      <alignment horizontal="left" readingOrder="0" vertical="bottom"/>
    </xf>
    <xf borderId="0" fillId="0" fontId="3" numFmtId="168" xfId="0" applyAlignment="1" applyFont="1" applyNumberFormat="1">
      <alignment horizontal="right" vertical="bottom"/>
    </xf>
    <xf borderId="0" fillId="0" fontId="3" numFmtId="49" xfId="0" applyAlignment="1" applyFont="1" applyNumberFormat="1">
      <alignment horizontal="right" readingOrder="0" vertical="bottom"/>
    </xf>
    <xf borderId="0" fillId="0" fontId="3" numFmtId="170" xfId="0" applyAlignment="1" applyFont="1" applyNumberFormat="1">
      <alignment horizontal="left" vertical="bottom"/>
    </xf>
    <xf borderId="0" fillId="0" fontId="3" numFmtId="0" xfId="0" applyAlignment="1" applyFont="1">
      <alignment horizontal="left" vertical="bottom"/>
    </xf>
    <xf borderId="0" fillId="0" fontId="3" numFmtId="0" xfId="0" applyAlignment="1" applyFont="1">
      <alignment horizontal="left" vertical="bottom"/>
    </xf>
    <xf borderId="0" fillId="3" fontId="5" numFmtId="170" xfId="0" applyAlignment="1" applyFont="1" applyNumberFormat="1">
      <alignment horizontal="left" readingOrder="0"/>
    </xf>
    <xf borderId="0" fillId="0" fontId="3" numFmtId="0" xfId="0" applyAlignment="1" applyFont="1">
      <alignment horizontal="left" readingOrder="0" vertical="bottom"/>
    </xf>
    <xf borderId="0" fillId="0" fontId="5" numFmtId="168" xfId="0" applyAlignment="1" applyFont="1" applyNumberFormat="1">
      <alignment horizontal="right" readingOrder="0"/>
    </xf>
    <xf borderId="0" fillId="3" fontId="3" numFmtId="0" xfId="0" applyAlignment="1" applyFont="1">
      <alignment horizontal="left" readingOrder="0" vertical="bottom"/>
    </xf>
    <xf borderId="0" fillId="4" fontId="3" numFmtId="49" xfId="0" applyAlignment="1" applyFont="1" applyNumberFormat="1">
      <alignment vertical="bottom"/>
    </xf>
    <xf borderId="0" fillId="4" fontId="3" numFmtId="0" xfId="0" applyAlignment="1" applyFont="1">
      <alignment vertical="bottom"/>
    </xf>
    <xf borderId="0" fillId="4" fontId="3" numFmtId="168" xfId="0" applyAlignment="1" applyFont="1" applyNumberFormat="1">
      <alignment vertical="bottom"/>
    </xf>
    <xf borderId="0" fillId="0" fontId="5" numFmtId="3" xfId="0" applyAlignment="1" applyFont="1" applyNumberFormat="1">
      <alignment readingOrder="0"/>
    </xf>
    <xf borderId="0" fillId="0" fontId="3" numFmtId="49" xfId="0" applyAlignment="1" applyFont="1" applyNumberFormat="1">
      <alignment horizontal="right" vertical="bottom"/>
    </xf>
    <xf borderId="0" fillId="2" fontId="1" numFmtId="49" xfId="0" applyAlignment="1" applyFont="1" applyNumberFormat="1">
      <alignment readingOrder="0" vertical="bottom"/>
    </xf>
    <xf borderId="0" fillId="2" fontId="3" numFmtId="2" xfId="0" applyAlignment="1" applyFont="1" applyNumberFormat="1">
      <alignment readingOrder="0" vertical="bottom"/>
    </xf>
    <xf borderId="0" fillId="2" fontId="3" numFmtId="2" xfId="0" applyAlignment="1" applyFont="1" applyNumberFormat="1">
      <alignment vertical="bottom"/>
    </xf>
    <xf borderId="0" fillId="2" fontId="3" numFmtId="4" xfId="0" applyAlignment="1" applyFont="1" applyNumberFormat="1">
      <alignment vertical="bottom"/>
    </xf>
    <xf borderId="0" fillId="2" fontId="3" numFmtId="168" xfId="0" applyAlignment="1" applyFont="1" applyNumberFormat="1">
      <alignment vertical="bottom"/>
    </xf>
    <xf borderId="0" fillId="2" fontId="3" numFmtId="0" xfId="0" applyAlignment="1" applyFont="1">
      <alignment horizontal="right" readingOrder="0" vertical="bottom"/>
    </xf>
    <xf borderId="0" fillId="0" fontId="3" numFmtId="2" xfId="0" applyAlignment="1" applyFont="1" applyNumberFormat="1">
      <alignment horizontal="right" readingOrder="0" vertical="bottom"/>
    </xf>
    <xf borderId="0" fillId="0" fontId="3" numFmtId="4" xfId="0" applyAlignment="1" applyFont="1" applyNumberFormat="1">
      <alignment horizontal="right" readingOrder="0" vertical="bottom"/>
    </xf>
    <xf borderId="0" fillId="0" fontId="3" numFmtId="168" xfId="0" applyAlignment="1" applyFont="1" applyNumberFormat="1">
      <alignment horizontal="right" readingOrder="0" vertical="bottom"/>
    </xf>
    <xf borderId="0" fillId="0" fontId="5" numFmtId="169" xfId="0" applyAlignment="1" applyFont="1" applyNumberFormat="1">
      <alignment horizontal="right" readingOrder="0"/>
    </xf>
    <xf borderId="0" fillId="0" fontId="3" numFmtId="170" xfId="0" applyAlignment="1" applyFont="1" applyNumberFormat="1">
      <alignment horizontal="right" readingOrder="0" vertical="bottom"/>
    </xf>
    <xf borderId="0" fillId="0" fontId="5" numFmtId="4" xfId="0" applyAlignment="1" applyFont="1" applyNumberFormat="1">
      <alignment readingOrder="0"/>
    </xf>
    <xf borderId="0" fillId="0" fontId="5" numFmtId="0" xfId="0" applyAlignment="1" applyFont="1">
      <alignment horizontal="right" readingOrder="0"/>
    </xf>
    <xf borderId="0" fillId="4" fontId="5" numFmtId="49" xfId="0" applyFont="1" applyNumberFormat="1"/>
    <xf borderId="0" fillId="4" fontId="5" numFmtId="2" xfId="0" applyFont="1" applyNumberFormat="1"/>
    <xf borderId="0" fillId="4" fontId="5" numFmtId="4" xfId="0" applyFont="1" applyNumberFormat="1"/>
    <xf borderId="0" fillId="4" fontId="5" numFmtId="168" xfId="0" applyFont="1" applyNumberFormat="1"/>
    <xf borderId="0" fillId="4" fontId="5" numFmtId="0" xfId="0" applyAlignment="1" applyFont="1">
      <alignment horizontal="right"/>
    </xf>
    <xf borderId="0" fillId="3" fontId="3" numFmtId="0" xfId="0" applyAlignment="1" applyFont="1">
      <alignment vertical="bottom"/>
    </xf>
    <xf borderId="0" fillId="0" fontId="3" numFmtId="2" xfId="0" applyAlignment="1" applyFont="1" applyNumberFormat="1">
      <alignment horizontal="right" vertical="bottom"/>
    </xf>
    <xf borderId="0" fillId="0" fontId="3" numFmtId="4" xfId="0" applyAlignment="1" applyFont="1" applyNumberFormat="1">
      <alignment horizontal="right" vertical="bottom"/>
    </xf>
    <xf borderId="0" fillId="0" fontId="3" numFmtId="168" xfId="0" applyAlignment="1" applyFont="1" applyNumberFormat="1">
      <alignment horizontal="right" vertical="bottom"/>
    </xf>
    <xf borderId="0" fillId="0" fontId="2" numFmtId="49" xfId="0" applyAlignment="1" applyFont="1" applyNumberFormat="1">
      <alignment horizontal="right" vertical="bottom"/>
    </xf>
    <xf borderId="0" fillId="0" fontId="2" numFmtId="2" xfId="0" applyAlignment="1" applyFont="1" applyNumberFormat="1">
      <alignment horizontal="right" vertical="bottom"/>
    </xf>
    <xf borderId="0" fillId="0" fontId="2" numFmtId="4" xfId="0" applyAlignment="1" applyFont="1" applyNumberFormat="1">
      <alignment horizontal="right" vertical="bottom"/>
    </xf>
    <xf borderId="0" fillId="0" fontId="2" numFmtId="168" xfId="0" applyAlignment="1" applyFont="1" applyNumberFormat="1">
      <alignment horizontal="right" vertical="bottom"/>
    </xf>
    <xf borderId="0" fillId="0" fontId="5" numFmtId="170" xfId="0" applyAlignment="1" applyFont="1" applyNumberFormat="1">
      <alignment horizontal="right" readingOrder="0"/>
    </xf>
    <xf borderId="0" fillId="0" fontId="3" numFmtId="4" xfId="0" applyAlignment="1" applyFont="1" applyNumberFormat="1">
      <alignment readingOrder="0" vertical="bottom"/>
    </xf>
    <xf borderId="0" fillId="0" fontId="5" numFmtId="2" xfId="0" applyAlignment="1" applyFont="1" applyNumberFormat="1">
      <alignment readingOrder="0"/>
    </xf>
    <xf borderId="0" fillId="0" fontId="5" numFmtId="169" xfId="0" applyAlignment="1" applyFont="1" applyNumberFormat="1">
      <alignment readingOrder="0"/>
    </xf>
    <xf borderId="0" fillId="0" fontId="2" numFmtId="171" xfId="0" applyAlignment="1" applyFont="1" applyNumberFormat="1">
      <alignment horizontal="right" vertical="bottom"/>
    </xf>
    <xf borderId="0" fillId="0" fontId="6" numFmtId="171" xfId="0" applyAlignment="1" applyFont="1" applyNumberFormat="1">
      <alignment horizontal="right" vertical="bottom"/>
    </xf>
    <xf borderId="0" fillId="0" fontId="3" numFmtId="0" xfId="0" applyAlignment="1" applyFont="1">
      <alignment horizontal="right" readingOrder="0" vertical="bottom"/>
    </xf>
    <xf borderId="0" fillId="0" fontId="3" numFmtId="171" xfId="0" applyAlignment="1" applyFont="1" applyNumberFormat="1">
      <alignment vertical="bottom"/>
    </xf>
    <xf borderId="0" fillId="0" fontId="3" numFmtId="4" xfId="0" applyAlignment="1" applyFont="1" applyNumberFormat="1">
      <alignment vertical="bottom"/>
    </xf>
    <xf borderId="0" fillId="0" fontId="3" numFmtId="168" xfId="0" applyAlignment="1" applyFont="1" applyNumberFormat="1">
      <alignment vertical="bottom"/>
    </xf>
    <xf borderId="0" fillId="0" fontId="3" numFmtId="168" xfId="0" applyAlignment="1" applyFont="1" applyNumberFormat="1">
      <alignment readingOrder="0" vertical="bottom"/>
    </xf>
    <xf borderId="0" fillId="0" fontId="5" numFmtId="171" xfId="0" applyFont="1" applyNumberFormat="1"/>
    <xf borderId="0" fillId="0" fontId="5" numFmtId="4" xfId="0" applyFont="1" applyNumberFormat="1"/>
    <xf borderId="0" fillId="0" fontId="3" numFmtId="172" xfId="0" applyAlignment="1" applyFont="1" applyNumberFormat="1">
      <alignment horizontal="right" vertical="bottom"/>
    </xf>
    <xf borderId="0" fillId="0" fontId="5" numFmtId="173" xfId="0" applyAlignment="1" applyFont="1" applyNumberFormat="1">
      <alignment readingOrder="0"/>
    </xf>
    <xf borderId="0" fillId="0" fontId="5" numFmtId="2" xfId="0" applyFont="1" applyNumberFormat="1"/>
    <xf borderId="0" fillId="0" fontId="5" numFmtId="171" xfId="0" applyAlignment="1" applyFont="1" applyNumberFormat="1">
      <alignment horizontal="left" readingOrder="0"/>
    </xf>
    <xf borderId="0" fillId="0" fontId="2" numFmtId="171" xfId="0" applyAlignment="1" applyFont="1" applyNumberFormat="1">
      <alignment horizontal="left" readingOrder="0" vertical="bottom"/>
    </xf>
    <xf borderId="0" fillId="0" fontId="2" numFmtId="171" xfId="0" applyAlignment="1" applyFont="1" applyNumberFormat="1">
      <alignment horizontal="left" vertical="bottom"/>
    </xf>
    <xf borderId="0" fillId="0" fontId="5" numFmtId="168" xfId="0" applyFont="1" applyNumberFormat="1"/>
    <xf borderId="0" fillId="0" fontId="5" numFmtId="0" xfId="0" applyAlignment="1" applyFont="1">
      <alignment horizontal="right"/>
    </xf>
    <xf borderId="0" fillId="0" fontId="5" numFmtId="49" xfId="0" applyFont="1" applyNumberFormat="1"/>
    <xf borderId="0" fillId="2" fontId="3" numFmtId="2" xfId="0" applyAlignment="1" applyFont="1" applyNumberFormat="1">
      <alignment horizontal="left" readingOrder="0" vertical="bottom"/>
    </xf>
    <xf borderId="0" fillId="2" fontId="3" numFmtId="168" xfId="0" applyAlignment="1" applyFont="1" applyNumberFormat="1">
      <alignment horizontal="left" readingOrder="0" vertical="bottom"/>
    </xf>
    <xf borderId="0" fillId="2" fontId="3" numFmtId="0" xfId="0" applyAlignment="1" applyFont="1">
      <alignment horizontal="left" readingOrder="0" vertical="bottom"/>
    </xf>
    <xf borderId="0" fillId="0" fontId="5" numFmtId="0" xfId="0" applyAlignment="1" applyFont="1">
      <alignment readingOrder="0" shrinkToFit="0" wrapText="0"/>
    </xf>
    <xf borderId="0" fillId="0" fontId="4" numFmtId="49" xfId="0" applyAlignment="1" applyFont="1" applyNumberFormat="1">
      <alignment horizontal="right" readingOrder="0"/>
    </xf>
    <xf borderId="0" fillId="0" fontId="4" numFmtId="168" xfId="0" applyFont="1" applyNumberFormat="1"/>
    <xf borderId="0" fillId="0" fontId="3" numFmtId="0" xfId="0" applyAlignment="1" applyFont="1">
      <alignment vertical="bottom"/>
    </xf>
    <xf borderId="0" fillId="3" fontId="2" numFmtId="0" xfId="0" applyAlignment="1" applyFont="1">
      <alignment horizontal="left" readingOrder="0"/>
    </xf>
    <xf borderId="0" fillId="0" fontId="3" numFmtId="49" xfId="0" applyAlignment="1" applyFont="1" applyNumberFormat="1">
      <alignment horizontal="right" readingOrder="0" vertical="bottom"/>
    </xf>
    <xf borderId="0" fillId="0" fontId="3" numFmtId="0" xfId="0" applyAlignment="1" applyFont="1">
      <alignment horizontal="right" vertical="bottom"/>
    </xf>
    <xf borderId="0" fillId="0" fontId="2" numFmtId="168" xfId="0" applyAlignment="1" applyFont="1" applyNumberFormat="1">
      <alignment vertical="bottom"/>
    </xf>
    <xf borderId="0" fillId="0" fontId="3" numFmtId="0" xfId="0" applyAlignment="1" applyFont="1">
      <alignment vertical="bottom"/>
    </xf>
    <xf borderId="0" fillId="3" fontId="2" numFmtId="49" xfId="0" applyAlignment="1" applyFont="1" applyNumberFormat="1">
      <alignment horizontal="right" vertical="bottom"/>
    </xf>
    <xf borderId="0" fillId="3"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75"/>
    <col customWidth="1" min="2" max="2" width="32.25"/>
    <col customWidth="1" min="3" max="3" width="22.38"/>
    <col customWidth="1" min="4" max="4" width="35.88"/>
    <col customWidth="1" min="5" max="5" width="19.0"/>
    <col customWidth="1" min="6" max="6" width="20.5"/>
    <col customWidth="1" min="7" max="7" width="15.25"/>
    <col customWidth="1" min="8" max="8" width="17.63"/>
    <col customWidth="1" min="9" max="10" width="13.25"/>
    <col customWidth="1" min="11" max="11" width="31.25"/>
    <col customWidth="1" min="12" max="12" width="18.0"/>
    <col customWidth="1" min="13" max="13" width="26.5"/>
    <col customWidth="1" min="14" max="14" width="18.88"/>
    <col customWidth="1" min="15" max="15" width="36.75"/>
    <col customWidth="1" min="16" max="30" width="7.63"/>
  </cols>
  <sheetData>
    <row r="1">
      <c r="A1" s="1" t="s">
        <v>0</v>
      </c>
      <c r="B1" s="2" t="s">
        <v>1</v>
      </c>
      <c r="C1" s="2" t="s">
        <v>2</v>
      </c>
      <c r="D1" s="2" t="s">
        <v>3</v>
      </c>
      <c r="E1" s="3" t="s">
        <v>4</v>
      </c>
      <c r="F1" s="2" t="s">
        <v>5</v>
      </c>
      <c r="G1" s="4" t="s">
        <v>6</v>
      </c>
      <c r="H1" s="4" t="s">
        <v>7</v>
      </c>
      <c r="I1" s="4" t="s">
        <v>8</v>
      </c>
      <c r="J1" s="2" t="s">
        <v>9</v>
      </c>
      <c r="K1" s="2" t="s">
        <v>10</v>
      </c>
      <c r="L1" s="2" t="s">
        <v>11</v>
      </c>
      <c r="M1" s="2" t="s">
        <v>12</v>
      </c>
      <c r="N1" s="2" t="s">
        <v>3</v>
      </c>
      <c r="O1" s="4" t="s">
        <v>13</v>
      </c>
      <c r="P1" s="2"/>
      <c r="Q1" s="2"/>
      <c r="R1" s="2"/>
      <c r="S1" s="2"/>
      <c r="T1" s="2"/>
      <c r="U1" s="2"/>
      <c r="V1" s="2"/>
      <c r="W1" s="2"/>
      <c r="X1" s="2"/>
      <c r="Y1" s="2"/>
      <c r="Z1" s="2"/>
      <c r="AA1" s="2"/>
      <c r="AB1" s="2"/>
      <c r="AC1" s="2"/>
      <c r="AD1" s="2"/>
    </row>
    <row r="2">
      <c r="A2" s="5" t="s">
        <v>14</v>
      </c>
      <c r="B2" s="6" t="s">
        <v>15</v>
      </c>
      <c r="C2" s="7" t="s">
        <v>16</v>
      </c>
      <c r="D2" s="7" t="s">
        <v>17</v>
      </c>
      <c r="E2" s="8">
        <v>39549.0</v>
      </c>
      <c r="F2" s="9">
        <v>42622.0</v>
      </c>
      <c r="G2" s="7" t="s">
        <v>18</v>
      </c>
      <c r="H2" s="6" t="s">
        <v>19</v>
      </c>
      <c r="I2" s="9">
        <v>42628.0</v>
      </c>
      <c r="J2" s="6" t="s">
        <v>20</v>
      </c>
      <c r="K2" s="6" t="s">
        <v>21</v>
      </c>
      <c r="L2" s="7" t="s">
        <v>18</v>
      </c>
      <c r="M2" s="6" t="s">
        <v>21</v>
      </c>
      <c r="N2" s="10" t="s">
        <v>22</v>
      </c>
      <c r="O2" s="11"/>
      <c r="P2" s="11"/>
      <c r="Q2" s="11"/>
      <c r="R2" s="11"/>
      <c r="S2" s="11"/>
      <c r="T2" s="11"/>
      <c r="U2" s="11"/>
      <c r="V2" s="11"/>
      <c r="W2" s="11"/>
      <c r="X2" s="11"/>
      <c r="Y2" s="11"/>
      <c r="Z2" s="11"/>
      <c r="AA2" s="11"/>
      <c r="AB2" s="11"/>
      <c r="AC2" s="11"/>
      <c r="AD2" s="11"/>
    </row>
    <row r="3">
      <c r="A3" s="5" t="s">
        <v>23</v>
      </c>
      <c r="B3" s="7" t="s">
        <v>24</v>
      </c>
      <c r="C3" s="7" t="s">
        <v>16</v>
      </c>
      <c r="D3" s="7" t="s">
        <v>17</v>
      </c>
      <c r="E3" s="12">
        <v>38443.0</v>
      </c>
      <c r="F3" s="13">
        <v>42501.0</v>
      </c>
      <c r="G3" s="7" t="s">
        <v>18</v>
      </c>
      <c r="H3" s="6" t="s">
        <v>25</v>
      </c>
      <c r="I3" s="13">
        <v>42501.0</v>
      </c>
      <c r="J3" s="6" t="s">
        <v>26</v>
      </c>
      <c r="K3" s="6" t="s">
        <v>21</v>
      </c>
      <c r="L3" s="7" t="s">
        <v>18</v>
      </c>
      <c r="M3" s="6" t="s">
        <v>21</v>
      </c>
      <c r="N3" s="10" t="s">
        <v>22</v>
      </c>
      <c r="O3" s="11"/>
      <c r="P3" s="11"/>
      <c r="Q3" s="11"/>
      <c r="R3" s="11"/>
      <c r="S3" s="11"/>
      <c r="T3" s="11"/>
      <c r="U3" s="11"/>
      <c r="V3" s="11"/>
      <c r="W3" s="11"/>
      <c r="X3" s="11"/>
      <c r="Y3" s="11"/>
      <c r="Z3" s="11"/>
      <c r="AA3" s="11"/>
      <c r="AB3" s="11"/>
      <c r="AC3" s="11"/>
      <c r="AD3" s="11"/>
    </row>
    <row r="4">
      <c r="A4" s="14" t="s">
        <v>27</v>
      </c>
      <c r="B4" s="15" t="s">
        <v>28</v>
      </c>
      <c r="C4" s="7" t="s">
        <v>16</v>
      </c>
      <c r="D4" s="7" t="s">
        <v>17</v>
      </c>
      <c r="E4" s="12">
        <v>39814.0</v>
      </c>
      <c r="F4" s="16">
        <v>42444.0</v>
      </c>
      <c r="G4" s="7" t="s">
        <v>18</v>
      </c>
      <c r="H4" s="6" t="s">
        <v>25</v>
      </c>
      <c r="I4" s="17">
        <v>42444.0</v>
      </c>
      <c r="J4" s="7" t="s">
        <v>29</v>
      </c>
      <c r="K4" s="6" t="s">
        <v>21</v>
      </c>
      <c r="L4" s="18" t="s">
        <v>18</v>
      </c>
      <c r="M4" s="6" t="s">
        <v>21</v>
      </c>
      <c r="N4" s="19" t="s">
        <v>30</v>
      </c>
      <c r="O4" s="11"/>
      <c r="P4" s="11"/>
      <c r="Q4" s="11"/>
      <c r="R4" s="11"/>
      <c r="S4" s="11"/>
      <c r="T4" s="11"/>
      <c r="U4" s="11"/>
      <c r="V4" s="11"/>
      <c r="W4" s="11"/>
      <c r="X4" s="11"/>
      <c r="Y4" s="11"/>
      <c r="Z4" s="11"/>
      <c r="AA4" s="11"/>
      <c r="AB4" s="11"/>
      <c r="AC4" s="11"/>
      <c r="AD4" s="11"/>
    </row>
    <row r="5">
      <c r="A5" s="14" t="s">
        <v>31</v>
      </c>
      <c r="B5" s="15" t="s">
        <v>32</v>
      </c>
      <c r="C5" s="7" t="s">
        <v>16</v>
      </c>
      <c r="D5" s="7" t="s">
        <v>17</v>
      </c>
      <c r="E5" s="12">
        <v>40133.0</v>
      </c>
      <c r="F5" s="13">
        <v>42503.0</v>
      </c>
      <c r="G5" s="7" t="s">
        <v>18</v>
      </c>
      <c r="H5" s="6" t="s">
        <v>33</v>
      </c>
      <c r="I5" s="17">
        <v>42503.0</v>
      </c>
      <c r="J5" s="6" t="s">
        <v>34</v>
      </c>
      <c r="K5" s="7" t="s">
        <v>18</v>
      </c>
      <c r="L5" s="7" t="s">
        <v>18</v>
      </c>
      <c r="M5" s="6" t="s">
        <v>21</v>
      </c>
      <c r="N5" s="10" t="s">
        <v>22</v>
      </c>
      <c r="O5" s="11"/>
      <c r="P5" s="11"/>
      <c r="Q5" s="11"/>
      <c r="R5" s="11"/>
      <c r="S5" s="11"/>
      <c r="T5" s="11"/>
      <c r="U5" s="11"/>
      <c r="V5" s="11"/>
      <c r="W5" s="11"/>
      <c r="X5" s="11"/>
      <c r="Y5" s="11"/>
      <c r="Z5" s="11"/>
      <c r="AA5" s="11"/>
      <c r="AB5" s="11"/>
      <c r="AC5" s="11"/>
      <c r="AD5" s="11"/>
    </row>
    <row r="6">
      <c r="A6" s="5" t="s">
        <v>35</v>
      </c>
      <c r="B6" s="7" t="s">
        <v>36</v>
      </c>
      <c r="C6" s="7" t="s">
        <v>16</v>
      </c>
      <c r="D6" s="7" t="s">
        <v>17</v>
      </c>
      <c r="E6" s="12">
        <v>42552.0</v>
      </c>
      <c r="F6" s="6" t="s">
        <v>37</v>
      </c>
      <c r="G6" s="7" t="s">
        <v>18</v>
      </c>
      <c r="H6" s="6" t="s">
        <v>38</v>
      </c>
      <c r="I6" s="16">
        <v>42552.0</v>
      </c>
      <c r="J6" s="6" t="s">
        <v>39</v>
      </c>
      <c r="K6" s="6" t="s">
        <v>21</v>
      </c>
      <c r="L6" s="7" t="s">
        <v>18</v>
      </c>
      <c r="M6" s="6" t="s">
        <v>21</v>
      </c>
      <c r="N6" s="20" t="s">
        <v>40</v>
      </c>
      <c r="O6" s="11"/>
      <c r="P6" s="11"/>
      <c r="Q6" s="11"/>
      <c r="R6" s="11"/>
      <c r="S6" s="11"/>
      <c r="T6" s="11"/>
      <c r="U6" s="11"/>
      <c r="V6" s="11"/>
      <c r="W6" s="11"/>
      <c r="X6" s="11"/>
      <c r="Y6" s="11"/>
      <c r="Z6" s="11"/>
      <c r="AA6" s="11"/>
      <c r="AB6" s="11"/>
      <c r="AC6" s="11"/>
      <c r="AD6" s="11"/>
    </row>
    <row r="7">
      <c r="A7" s="5" t="s">
        <v>41</v>
      </c>
      <c r="B7" s="7" t="s">
        <v>42</v>
      </c>
      <c r="C7" s="7" t="s">
        <v>16</v>
      </c>
      <c r="D7" s="7" t="s">
        <v>17</v>
      </c>
      <c r="E7" s="8">
        <v>40630.0</v>
      </c>
      <c r="F7" s="21">
        <v>42457.0</v>
      </c>
      <c r="G7" s="7" t="s">
        <v>18</v>
      </c>
      <c r="H7" s="6" t="s">
        <v>38</v>
      </c>
      <c r="I7" s="21">
        <v>42457.0</v>
      </c>
      <c r="J7" s="6" t="s">
        <v>43</v>
      </c>
      <c r="K7" s="6" t="s">
        <v>21</v>
      </c>
      <c r="L7" s="7" t="s">
        <v>18</v>
      </c>
      <c r="M7" s="6" t="s">
        <v>21</v>
      </c>
      <c r="N7" s="20" t="s">
        <v>44</v>
      </c>
      <c r="O7" s="11"/>
      <c r="P7" s="11"/>
      <c r="Q7" s="11"/>
      <c r="R7" s="11"/>
      <c r="S7" s="11"/>
      <c r="T7" s="11"/>
      <c r="U7" s="11"/>
      <c r="V7" s="11"/>
      <c r="W7" s="11"/>
      <c r="X7" s="11"/>
      <c r="Y7" s="11"/>
      <c r="Z7" s="11"/>
      <c r="AA7" s="11"/>
      <c r="AB7" s="11"/>
      <c r="AC7" s="11"/>
      <c r="AD7" s="11"/>
    </row>
    <row r="8">
      <c r="A8" s="14" t="s">
        <v>45</v>
      </c>
      <c r="B8" s="15" t="s">
        <v>46</v>
      </c>
      <c r="C8" s="7" t="s">
        <v>16</v>
      </c>
      <c r="D8" s="7" t="s">
        <v>17</v>
      </c>
      <c r="E8" s="8">
        <v>41557.0</v>
      </c>
      <c r="F8" s="6" t="s">
        <v>37</v>
      </c>
      <c r="G8" s="11" t="s">
        <v>47</v>
      </c>
      <c r="H8" s="6" t="s">
        <v>38</v>
      </c>
      <c r="I8" s="6" t="s">
        <v>37</v>
      </c>
      <c r="J8" s="6" t="s">
        <v>48</v>
      </c>
      <c r="K8" s="7" t="s">
        <v>18</v>
      </c>
      <c r="L8" s="7" t="s">
        <v>18</v>
      </c>
      <c r="M8" s="6" t="s">
        <v>21</v>
      </c>
      <c r="N8" s="10" t="s">
        <v>22</v>
      </c>
      <c r="O8" s="11"/>
      <c r="P8" s="11"/>
      <c r="Q8" s="11"/>
      <c r="R8" s="11"/>
      <c r="S8" s="11"/>
      <c r="T8" s="11"/>
      <c r="U8" s="11"/>
      <c r="V8" s="11"/>
      <c r="W8" s="11"/>
      <c r="X8" s="11"/>
      <c r="Y8" s="11"/>
      <c r="Z8" s="11"/>
      <c r="AA8" s="11"/>
      <c r="AB8" s="11"/>
      <c r="AC8" s="11"/>
      <c r="AD8" s="11"/>
    </row>
    <row r="9">
      <c r="A9" s="5" t="s">
        <v>49</v>
      </c>
      <c r="B9" s="7" t="s">
        <v>50</v>
      </c>
      <c r="C9" s="7" t="s">
        <v>16</v>
      </c>
      <c r="D9" s="7" t="s">
        <v>17</v>
      </c>
      <c r="E9" s="12">
        <v>40374.0</v>
      </c>
      <c r="F9" s="16">
        <v>42566.0</v>
      </c>
      <c r="G9" s="7" t="s">
        <v>18</v>
      </c>
      <c r="H9" s="6" t="s">
        <v>38</v>
      </c>
      <c r="I9" s="21">
        <v>42542.0</v>
      </c>
      <c r="J9" s="7" t="s">
        <v>51</v>
      </c>
      <c r="K9" s="7" t="s">
        <v>18</v>
      </c>
      <c r="L9" s="7" t="s">
        <v>18</v>
      </c>
      <c r="M9" s="6" t="s">
        <v>21</v>
      </c>
      <c r="N9" s="10" t="s">
        <v>22</v>
      </c>
      <c r="O9" s="11"/>
      <c r="P9" s="11"/>
      <c r="Q9" s="11"/>
      <c r="R9" s="11"/>
      <c r="S9" s="11"/>
      <c r="T9" s="11"/>
      <c r="U9" s="11"/>
      <c r="V9" s="11"/>
      <c r="W9" s="11"/>
      <c r="X9" s="11"/>
      <c r="Y9" s="11"/>
      <c r="Z9" s="11"/>
      <c r="AA9" s="11"/>
      <c r="AB9" s="11"/>
      <c r="AC9" s="11"/>
      <c r="AD9" s="11"/>
    </row>
    <row r="10">
      <c r="A10" s="5" t="s">
        <v>52</v>
      </c>
      <c r="B10" s="7" t="s">
        <v>53</v>
      </c>
      <c r="C10" s="7" t="s">
        <v>16</v>
      </c>
      <c r="D10" s="7" t="s">
        <v>17</v>
      </c>
      <c r="E10" s="22">
        <v>42583.0</v>
      </c>
      <c r="F10" s="23" t="s">
        <v>37</v>
      </c>
      <c r="G10" s="23" t="s">
        <v>18</v>
      </c>
      <c r="H10" s="6" t="s">
        <v>25</v>
      </c>
      <c r="I10" s="24">
        <v>42510.0</v>
      </c>
      <c r="J10" s="23" t="s">
        <v>54</v>
      </c>
      <c r="K10" s="6" t="s">
        <v>21</v>
      </c>
      <c r="L10" s="23" t="s">
        <v>18</v>
      </c>
      <c r="M10" s="6" t="s">
        <v>21</v>
      </c>
      <c r="N10" s="20" t="s">
        <v>44</v>
      </c>
      <c r="O10" s="25"/>
      <c r="P10" s="25"/>
      <c r="Q10" s="25"/>
      <c r="R10" s="25"/>
      <c r="S10" s="25"/>
      <c r="T10" s="25"/>
      <c r="U10" s="25"/>
      <c r="V10" s="25"/>
      <c r="W10" s="25"/>
      <c r="X10" s="25"/>
      <c r="Y10" s="25"/>
      <c r="Z10" s="25"/>
      <c r="AA10" s="25"/>
      <c r="AB10" s="25"/>
      <c r="AC10" s="25"/>
      <c r="AD10" s="25"/>
    </row>
    <row r="11">
      <c r="A11" s="5" t="s">
        <v>55</v>
      </c>
      <c r="B11" s="7" t="s">
        <v>56</v>
      </c>
      <c r="C11" s="7" t="s">
        <v>16</v>
      </c>
      <c r="D11" s="7" t="s">
        <v>17</v>
      </c>
      <c r="E11" s="12">
        <v>36973.0</v>
      </c>
      <c r="F11" s="13">
        <v>42562.0</v>
      </c>
      <c r="G11" s="7" t="s">
        <v>18</v>
      </c>
      <c r="H11" s="6" t="s">
        <v>57</v>
      </c>
      <c r="I11" s="13">
        <v>42562.0</v>
      </c>
      <c r="J11" s="7" t="s">
        <v>58</v>
      </c>
      <c r="K11" s="6" t="s">
        <v>21</v>
      </c>
      <c r="L11" s="7" t="s">
        <v>18</v>
      </c>
      <c r="M11" s="6" t="s">
        <v>21</v>
      </c>
      <c r="N11" s="20" t="s">
        <v>40</v>
      </c>
      <c r="O11" s="11"/>
      <c r="P11" s="11"/>
      <c r="Q11" s="11"/>
      <c r="R11" s="11"/>
      <c r="S11" s="11"/>
      <c r="T11" s="11"/>
      <c r="U11" s="11"/>
      <c r="V11" s="11"/>
      <c r="W11" s="11"/>
      <c r="X11" s="11"/>
      <c r="Y11" s="11"/>
      <c r="Z11" s="11"/>
      <c r="AA11" s="11"/>
      <c r="AB11" s="11"/>
      <c r="AC11" s="11"/>
      <c r="AD11" s="11"/>
    </row>
    <row r="12">
      <c r="A12" s="5" t="s">
        <v>59</v>
      </c>
      <c r="B12" s="7" t="s">
        <v>60</v>
      </c>
      <c r="C12" s="7" t="s">
        <v>16</v>
      </c>
      <c r="D12" s="7" t="s">
        <v>17</v>
      </c>
      <c r="E12" s="12">
        <v>41367.0</v>
      </c>
      <c r="F12" s="13">
        <v>42537.0</v>
      </c>
      <c r="G12" s="7" t="s">
        <v>18</v>
      </c>
      <c r="H12" s="6" t="s">
        <v>38</v>
      </c>
      <c r="I12" s="21">
        <v>42542.0</v>
      </c>
      <c r="J12" s="7" t="s">
        <v>61</v>
      </c>
      <c r="K12" s="7" t="s">
        <v>18</v>
      </c>
      <c r="L12" s="7" t="s">
        <v>18</v>
      </c>
      <c r="M12" s="6" t="s">
        <v>18</v>
      </c>
      <c r="N12" s="10" t="s">
        <v>22</v>
      </c>
      <c r="O12" s="11"/>
      <c r="P12" s="11"/>
      <c r="Q12" s="11"/>
      <c r="R12" s="11"/>
      <c r="S12" s="11"/>
      <c r="T12" s="11"/>
      <c r="U12" s="11"/>
      <c r="V12" s="11"/>
      <c r="W12" s="11"/>
      <c r="X12" s="11"/>
      <c r="Y12" s="11"/>
      <c r="Z12" s="11"/>
      <c r="AA12" s="11"/>
      <c r="AB12" s="11"/>
      <c r="AC12" s="11"/>
      <c r="AD12" s="11"/>
    </row>
    <row r="13">
      <c r="A13" s="5" t="s">
        <v>62</v>
      </c>
      <c r="B13" s="7" t="s">
        <v>63</v>
      </c>
      <c r="C13" s="7" t="s">
        <v>64</v>
      </c>
      <c r="D13" s="7" t="s">
        <v>17</v>
      </c>
      <c r="E13" s="12">
        <v>39659.0</v>
      </c>
      <c r="F13" s="13">
        <v>42480.0</v>
      </c>
      <c r="G13" s="7" t="s">
        <v>47</v>
      </c>
      <c r="H13" s="6" t="s">
        <v>38</v>
      </c>
      <c r="I13" s="7" t="s">
        <v>47</v>
      </c>
      <c r="J13" s="7" t="s">
        <v>65</v>
      </c>
      <c r="K13" s="6" t="s">
        <v>21</v>
      </c>
      <c r="L13" s="7" t="s">
        <v>18</v>
      </c>
      <c r="M13" s="7" t="s">
        <v>66</v>
      </c>
      <c r="N13" s="10" t="s">
        <v>22</v>
      </c>
      <c r="O13" s="11"/>
      <c r="P13" s="11"/>
      <c r="Q13" s="11"/>
      <c r="R13" s="11"/>
      <c r="S13" s="11"/>
      <c r="T13" s="11"/>
      <c r="U13" s="11"/>
      <c r="V13" s="11"/>
      <c r="W13" s="11"/>
      <c r="X13" s="11"/>
      <c r="Y13" s="11"/>
      <c r="Z13" s="11"/>
      <c r="AA13" s="11"/>
      <c r="AB13" s="11"/>
      <c r="AC13" s="11"/>
      <c r="AD13" s="11"/>
    </row>
    <row r="14">
      <c r="A14" s="5" t="s">
        <v>67</v>
      </c>
      <c r="B14" s="7" t="s">
        <v>68</v>
      </c>
      <c r="C14" s="7" t="s">
        <v>64</v>
      </c>
      <c r="D14" s="7" t="s">
        <v>17</v>
      </c>
      <c r="E14" s="12">
        <v>38929.0</v>
      </c>
      <c r="F14" s="16">
        <v>42549.0</v>
      </c>
      <c r="G14" s="7" t="s">
        <v>47</v>
      </c>
      <c r="H14" s="6" t="s">
        <v>69</v>
      </c>
      <c r="I14" s="7" t="s">
        <v>47</v>
      </c>
      <c r="J14" s="7" t="s">
        <v>70</v>
      </c>
      <c r="K14" s="6" t="s">
        <v>21</v>
      </c>
      <c r="L14" s="7" t="s">
        <v>18</v>
      </c>
      <c r="M14" s="7" t="s">
        <v>66</v>
      </c>
      <c r="N14" s="10" t="s">
        <v>22</v>
      </c>
      <c r="O14" s="11"/>
      <c r="P14" s="11"/>
      <c r="Q14" s="11"/>
      <c r="R14" s="11"/>
      <c r="S14" s="11"/>
      <c r="T14" s="11"/>
      <c r="U14" s="11"/>
      <c r="V14" s="11"/>
      <c r="W14" s="11"/>
      <c r="X14" s="11"/>
      <c r="Y14" s="11"/>
      <c r="Z14" s="11"/>
      <c r="AA14" s="11"/>
      <c r="AB14" s="11"/>
      <c r="AC14" s="11"/>
      <c r="AD14" s="11"/>
    </row>
    <row r="15">
      <c r="A15" s="5" t="s">
        <v>71</v>
      </c>
      <c r="B15" s="6" t="s">
        <v>72</v>
      </c>
      <c r="C15" s="7" t="s">
        <v>64</v>
      </c>
      <c r="D15" s="7" t="s">
        <v>17</v>
      </c>
      <c r="E15" s="12">
        <v>40330.0</v>
      </c>
      <c r="F15" s="26">
        <v>42675.0</v>
      </c>
      <c r="G15" s="7" t="s">
        <v>47</v>
      </c>
      <c r="H15" s="6" t="s">
        <v>69</v>
      </c>
      <c r="I15" s="7" t="s">
        <v>47</v>
      </c>
      <c r="J15" s="7" t="s">
        <v>73</v>
      </c>
      <c r="K15" s="6" t="s">
        <v>21</v>
      </c>
      <c r="L15" s="7" t="s">
        <v>18</v>
      </c>
      <c r="M15" s="7" t="s">
        <v>66</v>
      </c>
      <c r="N15" s="10" t="s">
        <v>22</v>
      </c>
      <c r="O15" s="18" t="s">
        <v>74</v>
      </c>
      <c r="P15" s="11"/>
      <c r="Q15" s="11"/>
      <c r="R15" s="11"/>
      <c r="S15" s="11"/>
      <c r="T15" s="11"/>
      <c r="U15" s="11"/>
      <c r="V15" s="11"/>
      <c r="W15" s="11"/>
      <c r="X15" s="11"/>
      <c r="Y15" s="11"/>
      <c r="Z15" s="11"/>
      <c r="AA15" s="11"/>
      <c r="AB15" s="11"/>
      <c r="AC15" s="11"/>
      <c r="AD15" s="11"/>
    </row>
    <row r="16">
      <c r="A16" s="5" t="s">
        <v>75</v>
      </c>
      <c r="B16" s="6" t="s">
        <v>76</v>
      </c>
      <c r="C16" s="7" t="s">
        <v>64</v>
      </c>
      <c r="D16" s="7" t="s">
        <v>17</v>
      </c>
      <c r="E16" s="12">
        <v>38473.0</v>
      </c>
      <c r="F16" s="13">
        <v>42508.0</v>
      </c>
      <c r="G16" s="7" t="s">
        <v>47</v>
      </c>
      <c r="H16" s="6" t="s">
        <v>38</v>
      </c>
      <c r="I16" s="7" t="s">
        <v>47</v>
      </c>
      <c r="J16" s="7" t="s">
        <v>77</v>
      </c>
      <c r="K16" s="6" t="s">
        <v>21</v>
      </c>
      <c r="L16" s="7" t="s">
        <v>18</v>
      </c>
      <c r="M16" s="7" t="s">
        <v>66</v>
      </c>
      <c r="N16" s="10" t="s">
        <v>22</v>
      </c>
      <c r="O16" s="11"/>
      <c r="P16" s="11"/>
      <c r="Q16" s="11"/>
      <c r="R16" s="11"/>
      <c r="S16" s="11"/>
      <c r="T16" s="11"/>
      <c r="U16" s="11"/>
      <c r="V16" s="11"/>
      <c r="W16" s="11"/>
      <c r="X16" s="11"/>
      <c r="Y16" s="11"/>
      <c r="Z16" s="11"/>
      <c r="AA16" s="11"/>
      <c r="AB16" s="11"/>
      <c r="AC16" s="11"/>
      <c r="AD16" s="11"/>
    </row>
    <row r="17">
      <c r="A17" s="5" t="s">
        <v>78</v>
      </c>
      <c r="B17" s="7" t="s">
        <v>79</v>
      </c>
      <c r="C17" s="7" t="s">
        <v>64</v>
      </c>
      <c r="D17" s="7" t="s">
        <v>17</v>
      </c>
      <c r="E17" s="12">
        <v>42200.0</v>
      </c>
      <c r="F17" s="13">
        <v>42549.0</v>
      </c>
      <c r="G17" s="7" t="s">
        <v>47</v>
      </c>
      <c r="H17" s="6" t="s">
        <v>38</v>
      </c>
      <c r="I17" s="7" t="s">
        <v>47</v>
      </c>
      <c r="J17" s="7" t="s">
        <v>80</v>
      </c>
      <c r="K17" s="6" t="s">
        <v>21</v>
      </c>
      <c r="L17" s="7" t="s">
        <v>18</v>
      </c>
      <c r="M17" s="7" t="s">
        <v>66</v>
      </c>
      <c r="N17" s="10" t="s">
        <v>22</v>
      </c>
      <c r="O17" s="11"/>
      <c r="P17" s="11"/>
      <c r="Q17" s="11"/>
      <c r="R17" s="11"/>
      <c r="S17" s="11"/>
      <c r="T17" s="11"/>
      <c r="U17" s="11"/>
      <c r="V17" s="11"/>
      <c r="W17" s="11"/>
      <c r="X17" s="11"/>
      <c r="Y17" s="11"/>
      <c r="Z17" s="11"/>
      <c r="AA17" s="11"/>
      <c r="AB17" s="11"/>
      <c r="AC17" s="11"/>
      <c r="AD17" s="11"/>
    </row>
    <row r="18">
      <c r="A18" s="5" t="s">
        <v>81</v>
      </c>
      <c r="B18" s="7" t="s">
        <v>82</v>
      </c>
      <c r="C18" s="7" t="s">
        <v>64</v>
      </c>
      <c r="D18" s="7" t="s">
        <v>17</v>
      </c>
      <c r="E18" s="12">
        <v>41730.0</v>
      </c>
      <c r="F18" s="13">
        <v>42496.0</v>
      </c>
      <c r="G18" s="7" t="s">
        <v>47</v>
      </c>
      <c r="H18" s="6" t="s">
        <v>69</v>
      </c>
      <c r="I18" s="7" t="s">
        <v>47</v>
      </c>
      <c r="J18" s="7" t="s">
        <v>83</v>
      </c>
      <c r="K18" s="6" t="s">
        <v>21</v>
      </c>
      <c r="L18" s="7" t="s">
        <v>18</v>
      </c>
      <c r="M18" s="7" t="s">
        <v>66</v>
      </c>
      <c r="N18" s="10" t="s">
        <v>22</v>
      </c>
      <c r="O18" s="11"/>
      <c r="P18" s="11"/>
      <c r="Q18" s="11"/>
      <c r="R18" s="11"/>
      <c r="S18" s="11"/>
      <c r="T18" s="11"/>
      <c r="U18" s="11"/>
      <c r="V18" s="11"/>
      <c r="W18" s="11"/>
      <c r="X18" s="11"/>
      <c r="Y18" s="11"/>
      <c r="Z18" s="11"/>
      <c r="AA18" s="11"/>
      <c r="AB18" s="11"/>
      <c r="AC18" s="11"/>
      <c r="AD18" s="11"/>
    </row>
    <row r="19">
      <c r="A19" s="5" t="s">
        <v>84</v>
      </c>
      <c r="B19" s="7" t="s">
        <v>85</v>
      </c>
      <c r="C19" s="7" t="s">
        <v>64</v>
      </c>
      <c r="D19" s="7" t="s">
        <v>17</v>
      </c>
      <c r="E19" s="12">
        <v>41750.0</v>
      </c>
      <c r="F19" s="13">
        <v>42583.0</v>
      </c>
      <c r="G19" s="7" t="s">
        <v>47</v>
      </c>
      <c r="H19" s="6" t="s">
        <v>69</v>
      </c>
      <c r="I19" s="7" t="s">
        <v>47</v>
      </c>
      <c r="J19" s="7" t="s">
        <v>47</v>
      </c>
      <c r="K19" s="6" t="s">
        <v>21</v>
      </c>
      <c r="L19" s="7" t="s">
        <v>18</v>
      </c>
      <c r="M19" s="7" t="s">
        <v>66</v>
      </c>
      <c r="N19" s="10" t="s">
        <v>22</v>
      </c>
      <c r="O19" s="18" t="s">
        <v>86</v>
      </c>
      <c r="P19" s="11"/>
      <c r="Q19" s="11"/>
      <c r="R19" s="11"/>
      <c r="S19" s="11"/>
      <c r="T19" s="11"/>
      <c r="U19" s="11"/>
      <c r="V19" s="11"/>
      <c r="W19" s="11"/>
      <c r="X19" s="11"/>
      <c r="Y19" s="11"/>
      <c r="Z19" s="11"/>
      <c r="AA19" s="11"/>
      <c r="AB19" s="11"/>
      <c r="AC19" s="11"/>
      <c r="AD19" s="11"/>
    </row>
    <row r="20">
      <c r="A20" s="5" t="s">
        <v>87</v>
      </c>
      <c r="B20" s="7" t="s">
        <v>88</v>
      </c>
      <c r="C20" s="6" t="s">
        <v>89</v>
      </c>
      <c r="D20" s="7" t="s">
        <v>17</v>
      </c>
      <c r="E20" s="12">
        <v>40465.0</v>
      </c>
      <c r="F20" s="13">
        <v>42185.0</v>
      </c>
      <c r="G20" s="7" t="s">
        <v>47</v>
      </c>
      <c r="H20" s="6" t="s">
        <v>90</v>
      </c>
      <c r="I20" s="7" t="s">
        <v>47</v>
      </c>
      <c r="J20" s="7" t="s">
        <v>91</v>
      </c>
      <c r="K20" s="6" t="s">
        <v>21</v>
      </c>
      <c r="L20" s="7" t="s">
        <v>18</v>
      </c>
      <c r="M20" s="7" t="s">
        <v>66</v>
      </c>
      <c r="N20" s="19" t="s">
        <v>30</v>
      </c>
      <c r="O20" s="7"/>
      <c r="P20" s="7"/>
      <c r="Q20" s="7"/>
      <c r="R20" s="7"/>
      <c r="S20" s="7"/>
      <c r="T20" s="7"/>
      <c r="U20" s="7"/>
      <c r="V20" s="7"/>
      <c r="W20" s="7"/>
      <c r="X20" s="7"/>
      <c r="Y20" s="7"/>
      <c r="Z20" s="7"/>
      <c r="AA20" s="7"/>
      <c r="AB20" s="7"/>
      <c r="AC20" s="7"/>
      <c r="AD20" s="7"/>
    </row>
    <row r="21">
      <c r="A21" s="5" t="s">
        <v>92</v>
      </c>
      <c r="B21" s="27" t="s">
        <v>93</v>
      </c>
      <c r="C21" s="6" t="s">
        <v>89</v>
      </c>
      <c r="D21" s="7" t="s">
        <v>17</v>
      </c>
      <c r="E21" s="12">
        <v>39661.0</v>
      </c>
      <c r="F21" s="16">
        <v>42613.0</v>
      </c>
      <c r="G21" s="6" t="s">
        <v>18</v>
      </c>
      <c r="H21" s="6" t="s">
        <v>90</v>
      </c>
      <c r="I21" s="7" t="s">
        <v>47</v>
      </c>
      <c r="J21" s="7" t="s">
        <v>94</v>
      </c>
      <c r="K21" s="6" t="s">
        <v>21</v>
      </c>
      <c r="L21" s="7" t="s">
        <v>18</v>
      </c>
      <c r="M21" s="7" t="s">
        <v>66</v>
      </c>
      <c r="N21" s="20" t="s">
        <v>44</v>
      </c>
      <c r="O21" s="7"/>
      <c r="P21" s="7"/>
      <c r="Q21" s="7"/>
      <c r="R21" s="7"/>
      <c r="S21" s="7"/>
      <c r="T21" s="7"/>
      <c r="U21" s="7"/>
      <c r="V21" s="7"/>
      <c r="W21" s="7"/>
      <c r="X21" s="7"/>
      <c r="Y21" s="7"/>
      <c r="Z21" s="7"/>
      <c r="AA21" s="7"/>
      <c r="AB21" s="7"/>
      <c r="AC21" s="7"/>
      <c r="AD21" s="7"/>
    </row>
    <row r="22">
      <c r="A22" s="5" t="s">
        <v>95</v>
      </c>
      <c r="B22" s="7" t="s">
        <v>96</v>
      </c>
      <c r="C22" s="7" t="s">
        <v>64</v>
      </c>
      <c r="D22" s="7" t="s">
        <v>17</v>
      </c>
      <c r="E22" s="8">
        <v>40603.0</v>
      </c>
      <c r="F22" s="21">
        <v>42507.0</v>
      </c>
      <c r="G22" s="7" t="s">
        <v>47</v>
      </c>
      <c r="H22" s="6" t="s">
        <v>90</v>
      </c>
      <c r="I22" s="7" t="s">
        <v>47</v>
      </c>
      <c r="J22" s="6" t="s">
        <v>97</v>
      </c>
      <c r="K22" s="6" t="s">
        <v>21</v>
      </c>
      <c r="L22" s="7" t="s">
        <v>18</v>
      </c>
      <c r="M22" s="6" t="s">
        <v>21</v>
      </c>
      <c r="N22" s="10" t="s">
        <v>22</v>
      </c>
      <c r="O22" s="7"/>
      <c r="P22" s="7"/>
      <c r="Q22" s="7"/>
      <c r="R22" s="7"/>
      <c r="S22" s="7"/>
      <c r="T22" s="7"/>
      <c r="U22" s="7"/>
      <c r="V22" s="7"/>
      <c r="W22" s="7"/>
      <c r="X22" s="7"/>
      <c r="Y22" s="7"/>
      <c r="Z22" s="7"/>
      <c r="AA22" s="7"/>
      <c r="AB22" s="7"/>
      <c r="AC22" s="7"/>
      <c r="AD22" s="7"/>
    </row>
    <row r="23">
      <c r="A23" s="28" t="s">
        <v>98</v>
      </c>
      <c r="B23" s="29" t="s">
        <v>99</v>
      </c>
      <c r="C23" s="29" t="s">
        <v>100</v>
      </c>
      <c r="D23" s="7" t="s">
        <v>17</v>
      </c>
      <c r="E23" s="30">
        <v>41820.0</v>
      </c>
      <c r="F23" s="17">
        <v>42549.0</v>
      </c>
      <c r="G23" s="6" t="s">
        <v>18</v>
      </c>
      <c r="H23" s="29" t="s">
        <v>101</v>
      </c>
      <c r="I23" s="17">
        <v>42551.0</v>
      </c>
      <c r="J23" s="29" t="s">
        <v>102</v>
      </c>
      <c r="K23" s="6" t="s">
        <v>21</v>
      </c>
      <c r="L23" s="29" t="s">
        <v>18</v>
      </c>
      <c r="M23" s="6" t="s">
        <v>21</v>
      </c>
      <c r="N23" s="31" t="s">
        <v>103</v>
      </c>
    </row>
    <row r="24">
      <c r="A24" s="28" t="s">
        <v>104</v>
      </c>
      <c r="B24" s="29" t="s">
        <v>105</v>
      </c>
      <c r="C24" s="29" t="s">
        <v>100</v>
      </c>
      <c r="D24" s="7" t="s">
        <v>17</v>
      </c>
      <c r="E24" s="30">
        <v>40820.0</v>
      </c>
      <c r="F24" s="32">
        <v>42552.0</v>
      </c>
      <c r="G24" s="6" t="s">
        <v>18</v>
      </c>
      <c r="H24" s="6" t="s">
        <v>106</v>
      </c>
      <c r="I24" s="32">
        <v>42544.0</v>
      </c>
      <c r="J24" s="29" t="s">
        <v>107</v>
      </c>
      <c r="K24" s="6" t="s">
        <v>21</v>
      </c>
      <c r="L24" s="29" t="s">
        <v>18</v>
      </c>
      <c r="M24" s="6" t="s">
        <v>21</v>
      </c>
      <c r="N24" s="31" t="s">
        <v>103</v>
      </c>
    </row>
    <row r="25">
      <c r="A25" s="28" t="s">
        <v>108</v>
      </c>
      <c r="B25" s="29" t="s">
        <v>109</v>
      </c>
      <c r="C25" s="29" t="s">
        <v>100</v>
      </c>
      <c r="D25" s="7" t="s">
        <v>17</v>
      </c>
      <c r="E25" s="30">
        <v>40374.0</v>
      </c>
      <c r="F25" s="6" t="s">
        <v>37</v>
      </c>
      <c r="G25" s="7" t="s">
        <v>47</v>
      </c>
      <c r="H25" s="29" t="s">
        <v>101</v>
      </c>
      <c r="I25" s="7" t="s">
        <v>47</v>
      </c>
      <c r="J25" s="29" t="s">
        <v>110</v>
      </c>
      <c r="K25" s="6" t="s">
        <v>21</v>
      </c>
      <c r="L25" s="29" t="s">
        <v>18</v>
      </c>
      <c r="M25" s="6" t="s">
        <v>21</v>
      </c>
      <c r="N25" s="31" t="s">
        <v>103</v>
      </c>
    </row>
    <row r="26">
      <c r="A26" s="28" t="s">
        <v>111</v>
      </c>
      <c r="B26" s="29" t="s">
        <v>112</v>
      </c>
      <c r="C26" s="29" t="s">
        <v>100</v>
      </c>
      <c r="D26" s="7" t="s">
        <v>17</v>
      </c>
      <c r="E26" s="30">
        <v>42125.0</v>
      </c>
      <c r="F26" s="33">
        <v>42552.0</v>
      </c>
      <c r="G26" s="6" t="s">
        <v>18</v>
      </c>
      <c r="H26" s="29" t="s">
        <v>113</v>
      </c>
      <c r="I26" s="32">
        <v>42558.0</v>
      </c>
      <c r="J26" s="29" t="s">
        <v>114</v>
      </c>
      <c r="K26" s="6" t="s">
        <v>21</v>
      </c>
      <c r="L26" s="29" t="s">
        <v>18</v>
      </c>
      <c r="M26" s="6" t="s">
        <v>21</v>
      </c>
      <c r="N26" s="20" t="s">
        <v>40</v>
      </c>
    </row>
    <row r="27">
      <c r="A27" s="28" t="s">
        <v>115</v>
      </c>
      <c r="B27" s="29" t="s">
        <v>116</v>
      </c>
      <c r="C27" s="29" t="s">
        <v>100</v>
      </c>
      <c r="D27" s="7" t="s">
        <v>17</v>
      </c>
      <c r="E27" s="34">
        <v>42095.0</v>
      </c>
      <c r="F27" s="33">
        <v>42550.0</v>
      </c>
      <c r="G27" s="6" t="s">
        <v>18</v>
      </c>
      <c r="H27" s="6" t="s">
        <v>38</v>
      </c>
      <c r="I27" s="32">
        <v>42550.0</v>
      </c>
      <c r="J27" s="29" t="s">
        <v>117</v>
      </c>
      <c r="K27" s="6" t="s">
        <v>21</v>
      </c>
      <c r="L27" s="29" t="s">
        <v>18</v>
      </c>
      <c r="M27" s="6" t="s">
        <v>21</v>
      </c>
      <c r="N27" s="31" t="s">
        <v>103</v>
      </c>
    </row>
    <row r="28">
      <c r="A28" s="5" t="s">
        <v>118</v>
      </c>
      <c r="B28" s="35" t="s">
        <v>119</v>
      </c>
      <c r="C28" s="29" t="s">
        <v>100</v>
      </c>
      <c r="D28" s="7" t="s">
        <v>17</v>
      </c>
      <c r="E28" s="30">
        <v>42292.0</v>
      </c>
      <c r="F28" s="29" t="s">
        <v>37</v>
      </c>
      <c r="G28" s="7" t="s">
        <v>47</v>
      </c>
      <c r="H28" s="6" t="s">
        <v>69</v>
      </c>
      <c r="I28" s="7" t="s">
        <v>47</v>
      </c>
      <c r="J28" s="29" t="s">
        <v>120</v>
      </c>
      <c r="K28" s="6" t="s">
        <v>21</v>
      </c>
      <c r="L28" s="29" t="s">
        <v>18</v>
      </c>
      <c r="M28" s="6" t="s">
        <v>21</v>
      </c>
      <c r="N28" s="31" t="s">
        <v>103</v>
      </c>
    </row>
    <row r="29">
      <c r="A29" s="28" t="s">
        <v>121</v>
      </c>
      <c r="B29" s="29" t="s">
        <v>122</v>
      </c>
      <c r="C29" s="29" t="s">
        <v>100</v>
      </c>
      <c r="D29" s="7" t="s">
        <v>17</v>
      </c>
      <c r="E29" s="30">
        <v>40330.0</v>
      </c>
      <c r="F29" s="33">
        <v>42495.0</v>
      </c>
      <c r="G29" s="6" t="s">
        <v>18</v>
      </c>
      <c r="H29" s="6" t="s">
        <v>123</v>
      </c>
      <c r="I29" s="33">
        <v>42501.0</v>
      </c>
      <c r="J29" s="29" t="s">
        <v>124</v>
      </c>
      <c r="K29" s="6" t="s">
        <v>21</v>
      </c>
      <c r="L29" s="29" t="s">
        <v>18</v>
      </c>
      <c r="M29" s="6" t="s">
        <v>21</v>
      </c>
      <c r="N29" s="31" t="s">
        <v>103</v>
      </c>
    </row>
    <row r="30">
      <c r="A30" s="5" t="s">
        <v>125</v>
      </c>
      <c r="B30" s="27" t="s">
        <v>126</v>
      </c>
      <c r="C30" s="29" t="s">
        <v>100</v>
      </c>
      <c r="D30" s="7" t="s">
        <v>17</v>
      </c>
      <c r="E30" s="30">
        <v>42186.0</v>
      </c>
      <c r="F30" s="29" t="s">
        <v>37</v>
      </c>
      <c r="G30" s="6" t="s">
        <v>18</v>
      </c>
      <c r="H30" s="29" t="s">
        <v>127</v>
      </c>
      <c r="I30" s="7" t="s">
        <v>47</v>
      </c>
      <c r="J30" s="29" t="s">
        <v>128</v>
      </c>
      <c r="K30" s="6" t="s">
        <v>21</v>
      </c>
      <c r="L30" s="29" t="s">
        <v>18</v>
      </c>
      <c r="M30" s="6" t="s">
        <v>21</v>
      </c>
      <c r="N30" s="31" t="s">
        <v>103</v>
      </c>
    </row>
    <row r="31">
      <c r="A31" s="5" t="s">
        <v>129</v>
      </c>
      <c r="B31" s="7" t="s">
        <v>130</v>
      </c>
      <c r="C31" s="29" t="s">
        <v>100</v>
      </c>
      <c r="D31" s="7" t="s">
        <v>17</v>
      </c>
      <c r="E31" s="30">
        <v>40268.0</v>
      </c>
      <c r="F31" s="33">
        <v>42551.0</v>
      </c>
      <c r="G31" s="6" t="s">
        <v>18</v>
      </c>
      <c r="H31" s="29" t="s">
        <v>38</v>
      </c>
      <c r="I31" s="33">
        <v>42551.0</v>
      </c>
      <c r="J31" s="29" t="s">
        <v>131</v>
      </c>
      <c r="K31" s="6" t="s">
        <v>21</v>
      </c>
      <c r="L31" s="29" t="s">
        <v>18</v>
      </c>
      <c r="M31" s="6" t="s">
        <v>21</v>
      </c>
      <c r="N31" s="31" t="s">
        <v>103</v>
      </c>
    </row>
    <row r="32">
      <c r="A32" s="5" t="s">
        <v>132</v>
      </c>
      <c r="B32" s="7" t="s">
        <v>133</v>
      </c>
      <c r="C32" s="29" t="s">
        <v>100</v>
      </c>
      <c r="D32" s="7" t="s">
        <v>17</v>
      </c>
      <c r="E32" s="30">
        <v>42370.0</v>
      </c>
      <c r="F32" s="33">
        <v>42514.0</v>
      </c>
      <c r="G32" s="6" t="s">
        <v>18</v>
      </c>
      <c r="H32" s="29" t="s">
        <v>134</v>
      </c>
      <c r="I32" s="33">
        <v>42514.0</v>
      </c>
      <c r="J32" s="29" t="s">
        <v>135</v>
      </c>
      <c r="K32" s="6" t="s">
        <v>21</v>
      </c>
      <c r="L32" s="29" t="s">
        <v>18</v>
      </c>
      <c r="M32" s="6" t="s">
        <v>21</v>
      </c>
      <c r="N32" s="31" t="s">
        <v>103</v>
      </c>
    </row>
    <row r="33">
      <c r="A33" s="28" t="s">
        <v>136</v>
      </c>
      <c r="B33" s="29" t="s">
        <v>137</v>
      </c>
      <c r="C33" s="29" t="s">
        <v>100</v>
      </c>
      <c r="D33" s="7" t="s">
        <v>17</v>
      </c>
      <c r="E33" s="30">
        <v>39995.0</v>
      </c>
      <c r="F33" s="33">
        <v>42550.0</v>
      </c>
      <c r="G33" s="6" t="s">
        <v>18</v>
      </c>
      <c r="H33" s="36" t="s">
        <v>90</v>
      </c>
      <c r="I33" s="33">
        <v>42551.0</v>
      </c>
      <c r="J33" s="29" t="s">
        <v>138</v>
      </c>
      <c r="K33" s="6" t="s">
        <v>21</v>
      </c>
      <c r="L33" s="29" t="s">
        <v>18</v>
      </c>
      <c r="M33" s="6" t="s">
        <v>21</v>
      </c>
      <c r="N33" s="31" t="s">
        <v>103</v>
      </c>
    </row>
    <row r="34">
      <c r="A34" s="5" t="s">
        <v>139</v>
      </c>
      <c r="B34" s="7" t="s">
        <v>140</v>
      </c>
      <c r="C34" s="29" t="s">
        <v>100</v>
      </c>
      <c r="D34" s="7" t="s">
        <v>17</v>
      </c>
      <c r="E34" s="30">
        <v>42370.0</v>
      </c>
      <c r="F34" s="33">
        <v>42530.0</v>
      </c>
      <c r="G34" s="6" t="s">
        <v>18</v>
      </c>
      <c r="H34" s="36" t="s">
        <v>90</v>
      </c>
      <c r="I34" s="33">
        <v>42530.0</v>
      </c>
      <c r="J34" s="29" t="s">
        <v>141</v>
      </c>
      <c r="K34" s="6" t="s">
        <v>21</v>
      </c>
      <c r="L34" s="29" t="s">
        <v>18</v>
      </c>
      <c r="M34" s="6" t="s">
        <v>21</v>
      </c>
      <c r="N34" s="31" t="s">
        <v>103</v>
      </c>
    </row>
    <row r="35">
      <c r="A35" s="37" t="s">
        <v>142</v>
      </c>
      <c r="B35" s="6" t="s">
        <v>143</v>
      </c>
      <c r="C35" s="29" t="s">
        <v>100</v>
      </c>
      <c r="D35" s="7" t="s">
        <v>17</v>
      </c>
      <c r="E35" s="30">
        <v>38930.0</v>
      </c>
      <c r="F35" s="33">
        <v>42613.0</v>
      </c>
      <c r="G35" s="6" t="s">
        <v>18</v>
      </c>
      <c r="H35" s="6" t="s">
        <v>144</v>
      </c>
      <c r="I35" s="33">
        <v>42613.0</v>
      </c>
      <c r="J35" s="29" t="s">
        <v>145</v>
      </c>
      <c r="K35" s="6" t="s">
        <v>21</v>
      </c>
      <c r="L35" s="29" t="s">
        <v>18</v>
      </c>
      <c r="M35" s="6" t="s">
        <v>21</v>
      </c>
      <c r="N35" s="31" t="s">
        <v>103</v>
      </c>
    </row>
    <row r="36">
      <c r="A36" s="37" t="s">
        <v>146</v>
      </c>
      <c r="B36" s="35" t="s">
        <v>147</v>
      </c>
      <c r="C36" s="29" t="s">
        <v>100</v>
      </c>
      <c r="D36" s="7" t="s">
        <v>17</v>
      </c>
      <c r="E36" s="30">
        <v>42217.0</v>
      </c>
      <c r="F36" s="29" t="s">
        <v>37</v>
      </c>
      <c r="G36" s="29" t="s">
        <v>18</v>
      </c>
      <c r="H36" s="29" t="s">
        <v>134</v>
      </c>
      <c r="I36" s="29" t="s">
        <v>37</v>
      </c>
      <c r="J36" s="29" t="s">
        <v>148</v>
      </c>
      <c r="K36" s="6" t="s">
        <v>21</v>
      </c>
      <c r="L36" s="29" t="s">
        <v>149</v>
      </c>
      <c r="M36" s="6" t="s">
        <v>21</v>
      </c>
      <c r="N36" s="38" t="s">
        <v>150</v>
      </c>
    </row>
    <row r="37">
      <c r="A37" s="37" t="s">
        <v>151</v>
      </c>
      <c r="B37" s="7" t="s">
        <v>152</v>
      </c>
      <c r="C37" s="29" t="s">
        <v>100</v>
      </c>
      <c r="D37" s="7" t="s">
        <v>17</v>
      </c>
      <c r="E37" s="30">
        <v>40726.0</v>
      </c>
      <c r="F37" s="33">
        <v>42552.0</v>
      </c>
      <c r="G37" s="29" t="s">
        <v>18</v>
      </c>
      <c r="H37" s="29" t="s">
        <v>90</v>
      </c>
      <c r="I37" s="33">
        <v>42552.0</v>
      </c>
      <c r="J37" s="29" t="s">
        <v>153</v>
      </c>
      <c r="K37" s="6" t="s">
        <v>21</v>
      </c>
      <c r="L37" s="29" t="s">
        <v>18</v>
      </c>
      <c r="M37" s="6" t="s">
        <v>21</v>
      </c>
      <c r="N37" s="31" t="s">
        <v>103</v>
      </c>
    </row>
    <row r="38">
      <c r="A38" s="37" t="s">
        <v>154</v>
      </c>
      <c r="B38" s="7" t="s">
        <v>155</v>
      </c>
      <c r="C38" s="29" t="s">
        <v>100</v>
      </c>
      <c r="D38" s="7" t="s">
        <v>17</v>
      </c>
      <c r="E38" s="30">
        <v>40770.0</v>
      </c>
      <c r="F38" s="33">
        <v>42591.0</v>
      </c>
      <c r="G38" s="29" t="s">
        <v>18</v>
      </c>
      <c r="H38" s="29" t="s">
        <v>134</v>
      </c>
      <c r="I38" s="33">
        <v>42591.0</v>
      </c>
      <c r="J38" s="29" t="s">
        <v>156</v>
      </c>
      <c r="K38" s="6" t="s">
        <v>21</v>
      </c>
      <c r="L38" s="29" t="s">
        <v>18</v>
      </c>
      <c r="M38" s="6" t="s">
        <v>21</v>
      </c>
      <c r="N38" s="31" t="s">
        <v>103</v>
      </c>
    </row>
    <row r="39">
      <c r="A39" s="5" t="s">
        <v>157</v>
      </c>
      <c r="B39" s="27" t="s">
        <v>158</v>
      </c>
      <c r="C39" s="29" t="s">
        <v>100</v>
      </c>
      <c r="D39" s="7" t="s">
        <v>17</v>
      </c>
      <c r="E39" s="30">
        <v>40909.0</v>
      </c>
      <c r="F39" s="33">
        <v>42535.0</v>
      </c>
      <c r="G39" s="29" t="s">
        <v>18</v>
      </c>
      <c r="H39" s="29" t="s">
        <v>101</v>
      </c>
      <c r="I39" s="33">
        <v>42541.0</v>
      </c>
      <c r="J39" s="29" t="s">
        <v>159</v>
      </c>
      <c r="K39" s="6" t="s">
        <v>21</v>
      </c>
      <c r="L39" s="29" t="s">
        <v>18</v>
      </c>
      <c r="M39" s="6" t="s">
        <v>21</v>
      </c>
      <c r="N39" s="31" t="s">
        <v>103</v>
      </c>
    </row>
    <row r="40">
      <c r="A40" s="37" t="s">
        <v>160</v>
      </c>
      <c r="B40" s="7" t="s">
        <v>161</v>
      </c>
      <c r="C40" s="29" t="s">
        <v>100</v>
      </c>
      <c r="D40" s="7" t="s">
        <v>17</v>
      </c>
      <c r="E40" s="30">
        <v>42005.0</v>
      </c>
      <c r="F40" s="33">
        <v>42541.0</v>
      </c>
      <c r="G40" s="29" t="s">
        <v>18</v>
      </c>
      <c r="H40" s="6" t="s">
        <v>38</v>
      </c>
      <c r="I40" s="33">
        <v>42541.0</v>
      </c>
      <c r="J40" s="29" t="s">
        <v>162</v>
      </c>
      <c r="K40" s="6" t="s">
        <v>21</v>
      </c>
      <c r="L40" s="29" t="s">
        <v>18</v>
      </c>
      <c r="M40" s="6" t="s">
        <v>21</v>
      </c>
      <c r="N40" s="31" t="s">
        <v>103</v>
      </c>
    </row>
    <row r="41">
      <c r="A41" s="37" t="s">
        <v>163</v>
      </c>
      <c r="B41" s="7" t="s">
        <v>164</v>
      </c>
      <c r="C41" s="29" t="s">
        <v>100</v>
      </c>
      <c r="D41" s="7" t="s">
        <v>17</v>
      </c>
      <c r="E41" s="30">
        <v>41275.0</v>
      </c>
      <c r="F41" s="33">
        <v>42535.0</v>
      </c>
      <c r="G41" s="29" t="s">
        <v>18</v>
      </c>
      <c r="H41" s="29" t="s">
        <v>165</v>
      </c>
      <c r="I41" s="32">
        <v>42557.0</v>
      </c>
      <c r="J41" s="29" t="s">
        <v>166</v>
      </c>
      <c r="K41" s="6" t="s">
        <v>21</v>
      </c>
      <c r="L41" s="29" t="s">
        <v>18</v>
      </c>
      <c r="M41" s="6" t="s">
        <v>21</v>
      </c>
      <c r="N41" s="31" t="s">
        <v>103</v>
      </c>
    </row>
    <row r="42">
      <c r="A42" s="37" t="s">
        <v>167</v>
      </c>
      <c r="B42" s="6" t="s">
        <v>168</v>
      </c>
      <c r="C42" s="7" t="s">
        <v>16</v>
      </c>
      <c r="D42" s="7" t="s">
        <v>17</v>
      </c>
      <c r="E42" s="22">
        <v>39248.0</v>
      </c>
      <c r="F42" s="39">
        <v>42522.0</v>
      </c>
      <c r="G42" s="23" t="s">
        <v>18</v>
      </c>
      <c r="H42" s="23" t="s">
        <v>169</v>
      </c>
      <c r="I42" s="24">
        <v>42534.0</v>
      </c>
      <c r="J42" s="23" t="s">
        <v>170</v>
      </c>
      <c r="K42" s="6" t="s">
        <v>21</v>
      </c>
      <c r="L42" s="23" t="s">
        <v>18</v>
      </c>
      <c r="M42" s="6" t="s">
        <v>21</v>
      </c>
      <c r="N42" s="10" t="s">
        <v>22</v>
      </c>
      <c r="O42" s="25"/>
      <c r="P42" s="25"/>
      <c r="Q42" s="25"/>
      <c r="R42" s="25"/>
      <c r="S42" s="25"/>
      <c r="T42" s="25"/>
      <c r="U42" s="25"/>
      <c r="V42" s="25"/>
      <c r="W42" s="25"/>
      <c r="X42" s="25"/>
      <c r="Y42" s="25"/>
      <c r="Z42" s="25"/>
      <c r="AA42" s="25"/>
      <c r="AB42" s="25"/>
      <c r="AC42" s="25"/>
      <c r="AD42" s="25"/>
    </row>
    <row r="43">
      <c r="A43" s="40" t="s">
        <v>171</v>
      </c>
      <c r="B43" s="29" t="s">
        <v>172</v>
      </c>
      <c r="C43" s="7" t="s">
        <v>64</v>
      </c>
      <c r="D43" s="7" t="s">
        <v>17</v>
      </c>
      <c r="E43" s="30">
        <v>41913.0</v>
      </c>
      <c r="F43" s="29" t="s">
        <v>37</v>
      </c>
      <c r="G43" s="7" t="s">
        <v>47</v>
      </c>
      <c r="H43" s="6" t="s">
        <v>38</v>
      </c>
      <c r="I43" s="29" t="s">
        <v>37</v>
      </c>
      <c r="J43" s="29" t="s">
        <v>173</v>
      </c>
      <c r="K43" s="6" t="s">
        <v>21</v>
      </c>
      <c r="L43" s="23" t="s">
        <v>18</v>
      </c>
      <c r="M43" s="6" t="s">
        <v>21</v>
      </c>
      <c r="N43" s="10" t="s">
        <v>22</v>
      </c>
    </row>
    <row r="44">
      <c r="A44" s="40" t="s">
        <v>174</v>
      </c>
      <c r="B44" s="29" t="s">
        <v>175</v>
      </c>
      <c r="C44" s="7" t="s">
        <v>16</v>
      </c>
      <c r="D44" s="7" t="s">
        <v>17</v>
      </c>
      <c r="E44" s="30">
        <v>40360.0</v>
      </c>
      <c r="F44" s="33">
        <v>42545.0</v>
      </c>
      <c r="G44" s="29" t="s">
        <v>18</v>
      </c>
      <c r="H44" s="6" t="s">
        <v>176</v>
      </c>
      <c r="I44" s="33">
        <v>42550.0</v>
      </c>
      <c r="J44" s="29" t="s">
        <v>177</v>
      </c>
      <c r="K44" s="6" t="s">
        <v>21</v>
      </c>
      <c r="L44" s="23" t="s">
        <v>18</v>
      </c>
      <c r="M44" s="6" t="s">
        <v>21</v>
      </c>
      <c r="N44" s="10" t="s">
        <v>22</v>
      </c>
    </row>
    <row r="45">
      <c r="A45" s="41" t="s">
        <v>178</v>
      </c>
      <c r="B45" s="42" t="s">
        <v>179</v>
      </c>
      <c r="C45" t="s">
        <v>180</v>
      </c>
      <c r="D45" s="7" t="s">
        <v>17</v>
      </c>
      <c r="E45" s="30">
        <v>40210.0</v>
      </c>
      <c r="F45" s="33">
        <v>42125.0</v>
      </c>
      <c r="G45" s="29" t="s">
        <v>18</v>
      </c>
      <c r="H45" s="29" t="s">
        <v>90</v>
      </c>
      <c r="I45" s="33">
        <v>42140.0</v>
      </c>
      <c r="J45" s="29" t="s">
        <v>181</v>
      </c>
      <c r="K45" s="6" t="s">
        <v>21</v>
      </c>
      <c r="L45" s="23" t="s">
        <v>18</v>
      </c>
      <c r="M45" s="29" t="s">
        <v>182</v>
      </c>
      <c r="N45" s="31" t="s">
        <v>103</v>
      </c>
    </row>
    <row r="46">
      <c r="A46" s="41" t="s">
        <v>183</v>
      </c>
      <c r="B46" s="43" t="s">
        <v>184</v>
      </c>
      <c r="C46" t="s">
        <v>16</v>
      </c>
      <c r="D46" s="7" t="s">
        <v>17</v>
      </c>
      <c r="E46" s="34">
        <v>40689.0</v>
      </c>
      <c r="F46" s="29" t="s">
        <v>37</v>
      </c>
      <c r="G46" s="7" t="s">
        <v>47</v>
      </c>
      <c r="H46" s="6" t="s">
        <v>38</v>
      </c>
      <c r="I46" s="29" t="s">
        <v>37</v>
      </c>
      <c r="J46" s="29" t="s">
        <v>185</v>
      </c>
      <c r="K46" s="6" t="s">
        <v>21</v>
      </c>
      <c r="L46" s="23" t="s">
        <v>18</v>
      </c>
      <c r="M46" s="6" t="s">
        <v>18</v>
      </c>
      <c r="N46" s="10" t="s">
        <v>22</v>
      </c>
    </row>
    <row r="47">
      <c r="A47" s="41" t="s">
        <v>186</v>
      </c>
      <c r="B47" s="42" t="s">
        <v>187</v>
      </c>
      <c r="C47" t="s">
        <v>64</v>
      </c>
      <c r="D47" s="7" t="s">
        <v>17</v>
      </c>
      <c r="E47" s="30">
        <v>41000.0</v>
      </c>
      <c r="F47" s="33">
        <v>42577.0</v>
      </c>
      <c r="G47" s="29" t="s">
        <v>18</v>
      </c>
      <c r="H47" s="6" t="s">
        <v>69</v>
      </c>
      <c r="I47" s="33">
        <v>42577.0</v>
      </c>
      <c r="J47" s="29" t="s">
        <v>188</v>
      </c>
      <c r="K47" s="6" t="s">
        <v>21</v>
      </c>
      <c r="L47" s="23" t="s">
        <v>18</v>
      </c>
      <c r="M47" s="6" t="s">
        <v>21</v>
      </c>
      <c r="N47" s="10" t="s">
        <v>22</v>
      </c>
    </row>
    <row r="48">
      <c r="A48" s="41" t="s">
        <v>189</v>
      </c>
      <c r="B48" s="43" t="s">
        <v>190</v>
      </c>
      <c r="C48" s="11" t="s">
        <v>16</v>
      </c>
      <c r="D48" s="7" t="s">
        <v>17</v>
      </c>
      <c r="E48" s="30">
        <v>39160.0</v>
      </c>
      <c r="F48" s="29" t="s">
        <v>37</v>
      </c>
      <c r="G48" s="7" t="s">
        <v>47</v>
      </c>
      <c r="H48" s="6" t="s">
        <v>90</v>
      </c>
      <c r="I48" s="29" t="s">
        <v>37</v>
      </c>
      <c r="J48" s="29" t="s">
        <v>191</v>
      </c>
      <c r="K48" s="6" t="s">
        <v>21</v>
      </c>
      <c r="L48" s="23" t="s">
        <v>18</v>
      </c>
      <c r="M48" s="6" t="s">
        <v>21</v>
      </c>
      <c r="N48" s="10" t="s">
        <v>22</v>
      </c>
    </row>
    <row r="49">
      <c r="A49" s="41" t="s">
        <v>192</v>
      </c>
      <c r="B49" s="11" t="s">
        <v>193</v>
      </c>
      <c r="C49" t="s">
        <v>64</v>
      </c>
      <c r="D49" s="7" t="s">
        <v>17</v>
      </c>
      <c r="E49" s="30">
        <v>39630.0</v>
      </c>
      <c r="F49" s="29" t="s">
        <v>37</v>
      </c>
      <c r="G49" s="7" t="s">
        <v>47</v>
      </c>
      <c r="H49" s="6" t="s">
        <v>90</v>
      </c>
      <c r="I49" s="29" t="s">
        <v>37</v>
      </c>
      <c r="J49" s="29" t="s">
        <v>194</v>
      </c>
      <c r="K49" s="6" t="s">
        <v>21</v>
      </c>
      <c r="L49" s="23" t="s">
        <v>18</v>
      </c>
      <c r="M49" s="6" t="s">
        <v>21</v>
      </c>
      <c r="N49" s="10" t="s">
        <v>22</v>
      </c>
    </row>
    <row r="50">
      <c r="A50" s="41" t="s">
        <v>195</v>
      </c>
      <c r="B50" s="27" t="s">
        <v>196</v>
      </c>
      <c r="C50" s="29" t="s">
        <v>180</v>
      </c>
      <c r="D50" s="7" t="s">
        <v>17</v>
      </c>
      <c r="E50" s="34">
        <v>41106.0</v>
      </c>
      <c r="F50" s="29" t="s">
        <v>37</v>
      </c>
      <c r="G50" s="7" t="s">
        <v>47</v>
      </c>
      <c r="H50" s="29" t="s">
        <v>165</v>
      </c>
      <c r="I50" s="29" t="s">
        <v>37</v>
      </c>
      <c r="J50" s="29" t="s">
        <v>197</v>
      </c>
      <c r="K50" s="6" t="s">
        <v>21</v>
      </c>
      <c r="L50" s="23" t="s">
        <v>18</v>
      </c>
      <c r="M50" s="6" t="s">
        <v>21</v>
      </c>
      <c r="N50" s="31" t="s">
        <v>103</v>
      </c>
    </row>
    <row r="51">
      <c r="A51" s="41" t="s">
        <v>198</v>
      </c>
      <c r="B51" s="11" t="s">
        <v>199</v>
      </c>
      <c r="C51" s="29" t="s">
        <v>180</v>
      </c>
      <c r="D51" s="7" t="s">
        <v>17</v>
      </c>
      <c r="E51" s="34">
        <v>42200.0</v>
      </c>
      <c r="F51" s="33">
        <v>42496.0</v>
      </c>
      <c r="G51" s="29" t="s">
        <v>18</v>
      </c>
      <c r="H51" s="29" t="s">
        <v>90</v>
      </c>
      <c r="I51" s="33">
        <v>42500.0</v>
      </c>
      <c r="J51" s="29" t="s">
        <v>200</v>
      </c>
      <c r="K51" s="6" t="s">
        <v>21</v>
      </c>
      <c r="L51" s="23" t="s">
        <v>18</v>
      </c>
      <c r="M51" s="6" t="s">
        <v>21</v>
      </c>
      <c r="N51" s="31" t="s">
        <v>103</v>
      </c>
    </row>
    <row r="52">
      <c r="A52" s="44"/>
      <c r="B52" s="45"/>
      <c r="C52" s="46"/>
      <c r="D52" s="46"/>
      <c r="E52" s="47"/>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row>
    <row r="53">
      <c r="A53" s="48"/>
      <c r="B53" s="29"/>
      <c r="E53" s="49"/>
    </row>
    <row r="54">
      <c r="A54" s="48"/>
      <c r="B54" s="29"/>
      <c r="E54" s="49"/>
    </row>
    <row r="55">
      <c r="A55" s="48"/>
      <c r="B55" s="29"/>
      <c r="E55" s="49"/>
    </row>
    <row r="56">
      <c r="A56" s="48"/>
      <c r="B56" s="29"/>
      <c r="E56" s="49"/>
    </row>
    <row r="57">
      <c r="A57" s="48"/>
      <c r="B57" s="29"/>
      <c r="E57" s="49"/>
    </row>
    <row r="58">
      <c r="A58" s="48"/>
      <c r="E58" s="49"/>
    </row>
    <row r="59">
      <c r="A59" s="48"/>
      <c r="E59" s="49"/>
    </row>
    <row r="60">
      <c r="A60" s="48"/>
      <c r="E60" s="49"/>
    </row>
    <row r="61">
      <c r="A61" s="48"/>
      <c r="E61" s="49"/>
    </row>
    <row r="62">
      <c r="A62" s="48"/>
      <c r="E62" s="49"/>
    </row>
    <row r="63">
      <c r="A63" s="48"/>
      <c r="E63" s="49"/>
    </row>
    <row r="64">
      <c r="A64" s="48"/>
      <c r="E64" s="49"/>
    </row>
    <row r="65">
      <c r="A65" s="48"/>
      <c r="E65" s="49"/>
    </row>
    <row r="66">
      <c r="A66" s="48"/>
      <c r="E66" s="49"/>
    </row>
    <row r="67">
      <c r="A67" s="48"/>
      <c r="E67" s="49"/>
    </row>
    <row r="68">
      <c r="A68" s="48"/>
      <c r="E68" s="49"/>
    </row>
    <row r="69">
      <c r="A69" s="48"/>
      <c r="E69" s="49"/>
    </row>
    <row r="70">
      <c r="A70" s="48"/>
      <c r="E70" s="49"/>
    </row>
    <row r="71">
      <c r="A71" s="48"/>
      <c r="E71" s="49"/>
    </row>
    <row r="72">
      <c r="A72" s="48"/>
      <c r="E72" s="49"/>
    </row>
    <row r="73">
      <c r="A73" s="48"/>
      <c r="E73" s="49"/>
    </row>
    <row r="74">
      <c r="A74" s="48"/>
      <c r="E74" s="49"/>
    </row>
    <row r="75">
      <c r="A75" s="48"/>
      <c r="E75" s="49"/>
    </row>
    <row r="76">
      <c r="A76" s="48"/>
      <c r="E76" s="49"/>
    </row>
    <row r="77">
      <c r="A77" s="48"/>
      <c r="E77" s="49"/>
    </row>
    <row r="78">
      <c r="A78" s="48"/>
      <c r="E78" s="49"/>
    </row>
    <row r="79">
      <c r="A79" s="48"/>
      <c r="E79" s="49"/>
    </row>
    <row r="80">
      <c r="A80" s="48"/>
      <c r="E80" s="49"/>
    </row>
    <row r="81">
      <c r="A81" s="48"/>
      <c r="E81" s="49"/>
    </row>
    <row r="82">
      <c r="A82" s="48"/>
      <c r="E82" s="49"/>
    </row>
    <row r="83">
      <c r="A83" s="48"/>
      <c r="E83" s="49"/>
    </row>
    <row r="84">
      <c r="A84" s="48"/>
      <c r="E84" s="49"/>
    </row>
    <row r="85">
      <c r="A85" s="48"/>
      <c r="E85" s="49"/>
    </row>
    <row r="86">
      <c r="A86" s="48"/>
      <c r="E86" s="49"/>
    </row>
    <row r="87">
      <c r="A87" s="48"/>
      <c r="E87" s="49"/>
    </row>
    <row r="88">
      <c r="A88" s="48"/>
      <c r="E88" s="49"/>
    </row>
    <row r="89">
      <c r="A89" s="48"/>
      <c r="E89" s="49"/>
    </row>
    <row r="90">
      <c r="A90" s="48"/>
      <c r="E90" s="49"/>
    </row>
    <row r="91">
      <c r="A91" s="48"/>
      <c r="E91" s="49"/>
    </row>
    <row r="92">
      <c r="A92" s="48"/>
      <c r="E92" s="49"/>
    </row>
    <row r="93">
      <c r="A93" s="48"/>
      <c r="E93" s="49"/>
    </row>
    <row r="94">
      <c r="A94" s="48"/>
      <c r="E94" s="49"/>
    </row>
    <row r="95">
      <c r="A95" s="48"/>
      <c r="E95" s="49"/>
    </row>
    <row r="96">
      <c r="A96" s="48"/>
      <c r="E96" s="49"/>
    </row>
    <row r="97">
      <c r="A97" s="48"/>
      <c r="E97" s="49"/>
    </row>
    <row r="98">
      <c r="A98" s="48"/>
      <c r="E98" s="49"/>
    </row>
    <row r="99">
      <c r="A99" s="48"/>
      <c r="E99" s="49"/>
    </row>
    <row r="100">
      <c r="A100" s="48"/>
      <c r="E100" s="49"/>
    </row>
    <row r="101">
      <c r="A101" s="48"/>
      <c r="E101" s="49"/>
    </row>
    <row r="102">
      <c r="A102" s="48"/>
      <c r="E102" s="49"/>
    </row>
    <row r="103">
      <c r="A103" s="48"/>
      <c r="E103" s="49"/>
    </row>
    <row r="104">
      <c r="A104" s="48"/>
      <c r="E104" s="49"/>
    </row>
    <row r="105">
      <c r="A105" s="48"/>
      <c r="E105" s="49"/>
    </row>
    <row r="106">
      <c r="A106" s="48"/>
      <c r="E106" s="49"/>
    </row>
    <row r="107">
      <c r="A107" s="48"/>
      <c r="E107" s="49"/>
    </row>
    <row r="108">
      <c r="A108" s="48"/>
      <c r="E108" s="49"/>
    </row>
    <row r="109">
      <c r="A109" s="48"/>
      <c r="E109" s="49"/>
    </row>
    <row r="110">
      <c r="A110" s="48"/>
      <c r="E110" s="49"/>
    </row>
    <row r="111">
      <c r="A111" s="48"/>
      <c r="E111" s="49"/>
    </row>
    <row r="112">
      <c r="A112" s="48"/>
      <c r="E112" s="49"/>
    </row>
    <row r="113">
      <c r="A113" s="48"/>
      <c r="E113" s="49"/>
    </row>
    <row r="114">
      <c r="A114" s="48"/>
      <c r="E114" s="49"/>
    </row>
    <row r="115">
      <c r="A115" s="48"/>
      <c r="E115" s="49"/>
    </row>
    <row r="116">
      <c r="A116" s="48"/>
      <c r="E116" s="49"/>
    </row>
    <row r="117">
      <c r="A117" s="48"/>
      <c r="E117" s="49"/>
    </row>
    <row r="118">
      <c r="A118" s="48"/>
      <c r="E118" s="49"/>
    </row>
    <row r="119">
      <c r="A119" s="48"/>
      <c r="E119" s="49"/>
    </row>
    <row r="120">
      <c r="A120" s="48"/>
      <c r="E120" s="49"/>
    </row>
    <row r="121">
      <c r="A121" s="48"/>
      <c r="E121" s="49"/>
    </row>
    <row r="122">
      <c r="A122" s="48"/>
      <c r="E122" s="49"/>
    </row>
    <row r="123">
      <c r="A123" s="48"/>
      <c r="E123" s="49"/>
    </row>
    <row r="124">
      <c r="A124" s="48"/>
      <c r="E124" s="49"/>
    </row>
    <row r="125">
      <c r="A125" s="48"/>
      <c r="E125" s="49"/>
    </row>
    <row r="126">
      <c r="A126" s="48"/>
      <c r="E126" s="49"/>
    </row>
    <row r="127">
      <c r="A127" s="48"/>
      <c r="E127" s="49"/>
    </row>
    <row r="128">
      <c r="A128" s="48"/>
      <c r="E128" s="49"/>
    </row>
    <row r="129">
      <c r="A129" s="48"/>
      <c r="E129" s="49"/>
    </row>
    <row r="130">
      <c r="A130" s="48"/>
      <c r="E130" s="49"/>
    </row>
    <row r="131">
      <c r="A131" s="48"/>
      <c r="E131" s="49"/>
    </row>
    <row r="132">
      <c r="A132" s="48"/>
      <c r="E132" s="49"/>
    </row>
    <row r="133">
      <c r="A133" s="48"/>
      <c r="E133" s="49"/>
    </row>
    <row r="134">
      <c r="A134" s="48"/>
      <c r="E134" s="49"/>
    </row>
    <row r="135">
      <c r="A135" s="48"/>
      <c r="E135" s="49"/>
    </row>
    <row r="136">
      <c r="A136" s="48"/>
      <c r="E136" s="49"/>
    </row>
    <row r="137">
      <c r="A137" s="48"/>
      <c r="E137" s="49"/>
    </row>
    <row r="138">
      <c r="A138" s="48"/>
      <c r="E138" s="49"/>
    </row>
    <row r="139">
      <c r="A139" s="48"/>
      <c r="E139" s="49"/>
    </row>
    <row r="140">
      <c r="A140" s="48"/>
      <c r="E140" s="49"/>
    </row>
    <row r="141">
      <c r="A141" s="48"/>
      <c r="E141" s="49"/>
    </row>
    <row r="142">
      <c r="A142" s="48"/>
      <c r="E142" s="49"/>
    </row>
    <row r="143">
      <c r="A143" s="48"/>
      <c r="E143" s="49"/>
    </row>
    <row r="144">
      <c r="A144" s="48"/>
      <c r="E144" s="49"/>
    </row>
    <row r="145">
      <c r="A145" s="48"/>
      <c r="E145" s="49"/>
    </row>
    <row r="146">
      <c r="A146" s="48"/>
      <c r="E146" s="49"/>
    </row>
    <row r="147">
      <c r="A147" s="48"/>
      <c r="E147" s="49"/>
    </row>
    <row r="148">
      <c r="A148" s="48"/>
      <c r="E148" s="49"/>
    </row>
    <row r="149">
      <c r="A149" s="48"/>
      <c r="E149" s="49"/>
    </row>
    <row r="150">
      <c r="A150" s="48"/>
      <c r="E150" s="49"/>
    </row>
    <row r="151">
      <c r="A151" s="48"/>
      <c r="E151" s="49"/>
    </row>
    <row r="152">
      <c r="A152" s="48"/>
      <c r="E152" s="49"/>
    </row>
    <row r="153">
      <c r="A153" s="48"/>
      <c r="E153" s="49"/>
    </row>
    <row r="154">
      <c r="A154" s="48"/>
      <c r="E154" s="49"/>
    </row>
    <row r="155">
      <c r="A155" s="48"/>
      <c r="E155" s="49"/>
    </row>
    <row r="156">
      <c r="A156" s="48"/>
      <c r="E156" s="49"/>
    </row>
    <row r="157">
      <c r="A157" s="48"/>
      <c r="E157" s="49"/>
    </row>
    <row r="158">
      <c r="A158" s="48"/>
      <c r="E158" s="49"/>
    </row>
    <row r="159">
      <c r="A159" s="48"/>
      <c r="E159" s="49"/>
    </row>
    <row r="160">
      <c r="A160" s="48"/>
      <c r="E160" s="49"/>
    </row>
    <row r="161">
      <c r="A161" s="48"/>
      <c r="E161" s="49"/>
    </row>
    <row r="162">
      <c r="A162" s="48"/>
      <c r="E162" s="49"/>
    </row>
    <row r="163">
      <c r="A163" s="48"/>
      <c r="E163" s="49"/>
    </row>
    <row r="164">
      <c r="A164" s="48"/>
      <c r="E164" s="49"/>
    </row>
    <row r="165">
      <c r="A165" s="48"/>
      <c r="E165" s="49"/>
    </row>
    <row r="166">
      <c r="A166" s="48"/>
      <c r="E166" s="49"/>
    </row>
    <row r="167">
      <c r="A167" s="48"/>
      <c r="E167" s="49"/>
    </row>
    <row r="168">
      <c r="A168" s="48"/>
      <c r="E168" s="49"/>
    </row>
    <row r="169">
      <c r="A169" s="48"/>
      <c r="E169" s="49"/>
    </row>
    <row r="170">
      <c r="A170" s="48"/>
      <c r="E170" s="49"/>
    </row>
    <row r="171">
      <c r="A171" s="48"/>
      <c r="E171" s="49"/>
    </row>
    <row r="172">
      <c r="A172" s="48"/>
      <c r="E172" s="49"/>
    </row>
    <row r="173">
      <c r="A173" s="48"/>
      <c r="E173" s="49"/>
    </row>
    <row r="174">
      <c r="A174" s="48"/>
      <c r="E174" s="49"/>
    </row>
    <row r="175">
      <c r="A175" s="48"/>
      <c r="E175" s="49"/>
    </row>
    <row r="176">
      <c r="A176" s="48"/>
      <c r="E176" s="49"/>
    </row>
    <row r="177">
      <c r="A177" s="48"/>
      <c r="E177" s="49"/>
    </row>
    <row r="178">
      <c r="A178" s="48"/>
      <c r="E178" s="49"/>
    </row>
    <row r="179">
      <c r="A179" s="48"/>
      <c r="E179" s="49"/>
    </row>
    <row r="180">
      <c r="A180" s="48"/>
      <c r="E180" s="49"/>
    </row>
    <row r="181">
      <c r="A181" s="48"/>
      <c r="E181" s="49"/>
    </row>
    <row r="182">
      <c r="A182" s="48"/>
      <c r="E182" s="49"/>
    </row>
    <row r="183">
      <c r="A183" s="48"/>
      <c r="E183" s="49"/>
    </row>
    <row r="184">
      <c r="A184" s="48"/>
      <c r="E184" s="49"/>
    </row>
    <row r="185">
      <c r="A185" s="48"/>
      <c r="E185" s="49"/>
    </row>
    <row r="186">
      <c r="A186" s="48"/>
      <c r="E186" s="49"/>
    </row>
    <row r="187">
      <c r="A187" s="48"/>
      <c r="E187" s="49"/>
    </row>
    <row r="188">
      <c r="A188" s="48"/>
      <c r="E188" s="49"/>
    </row>
    <row r="189">
      <c r="A189" s="48"/>
      <c r="E189" s="49"/>
    </row>
    <row r="190">
      <c r="A190" s="48"/>
      <c r="E190" s="49"/>
    </row>
    <row r="191">
      <c r="A191" s="48"/>
      <c r="E191" s="49"/>
    </row>
    <row r="192">
      <c r="A192" s="48"/>
      <c r="E192" s="49"/>
    </row>
    <row r="193">
      <c r="A193" s="48"/>
      <c r="E193" s="49"/>
    </row>
    <row r="194">
      <c r="A194" s="48"/>
      <c r="E194" s="49"/>
    </row>
    <row r="195">
      <c r="A195" s="48"/>
      <c r="E195" s="49"/>
    </row>
    <row r="196">
      <c r="A196" s="48"/>
      <c r="E196" s="49"/>
    </row>
    <row r="197">
      <c r="A197" s="48"/>
      <c r="E197" s="49"/>
    </row>
    <row r="198">
      <c r="A198" s="48"/>
      <c r="E198" s="49"/>
    </row>
    <row r="199">
      <c r="A199" s="48"/>
      <c r="E199" s="49"/>
    </row>
    <row r="200">
      <c r="A200" s="48"/>
      <c r="E200" s="49"/>
    </row>
    <row r="201">
      <c r="A201" s="48"/>
      <c r="E201" s="49"/>
    </row>
    <row r="202">
      <c r="A202" s="48"/>
      <c r="E202" s="49"/>
    </row>
    <row r="203">
      <c r="A203" s="48"/>
      <c r="E203" s="49"/>
    </row>
    <row r="204">
      <c r="A204" s="48"/>
      <c r="E204" s="49"/>
    </row>
    <row r="205">
      <c r="A205" s="48"/>
      <c r="E205" s="49"/>
    </row>
    <row r="206">
      <c r="A206" s="48"/>
      <c r="E206" s="49"/>
    </row>
    <row r="207">
      <c r="A207" s="48"/>
      <c r="E207" s="49"/>
    </row>
    <row r="208">
      <c r="A208" s="48"/>
      <c r="E208" s="49"/>
    </row>
    <row r="209">
      <c r="A209" s="48"/>
      <c r="E209" s="49"/>
    </row>
    <row r="210">
      <c r="A210" s="48"/>
      <c r="E210" s="49"/>
    </row>
    <row r="211">
      <c r="A211" s="48"/>
      <c r="E211" s="49"/>
    </row>
    <row r="212">
      <c r="A212" s="48"/>
      <c r="E212" s="49"/>
    </row>
    <row r="213">
      <c r="A213" s="48"/>
      <c r="E213" s="49"/>
    </row>
    <row r="214">
      <c r="A214" s="48"/>
      <c r="E214" s="49"/>
    </row>
    <row r="215">
      <c r="A215" s="48"/>
      <c r="E215" s="49"/>
    </row>
    <row r="216">
      <c r="A216" s="48"/>
      <c r="E216" s="49"/>
    </row>
    <row r="217">
      <c r="A217" s="48"/>
      <c r="E217" s="49"/>
    </row>
    <row r="218">
      <c r="A218" s="48"/>
      <c r="E218" s="49"/>
    </row>
    <row r="219">
      <c r="A219" s="48"/>
      <c r="E219" s="49"/>
    </row>
    <row r="220">
      <c r="A220" s="48"/>
      <c r="E220" s="49"/>
    </row>
    <row r="221">
      <c r="A221" s="48"/>
      <c r="E221" s="49"/>
    </row>
    <row r="222">
      <c r="A222" s="48"/>
      <c r="E222" s="49"/>
    </row>
    <row r="223">
      <c r="A223" s="48"/>
      <c r="E223" s="49"/>
    </row>
    <row r="224">
      <c r="A224" s="48"/>
      <c r="E224" s="49"/>
    </row>
    <row r="225">
      <c r="A225" s="48"/>
      <c r="E225" s="49"/>
    </row>
    <row r="226">
      <c r="A226" s="48"/>
      <c r="E226" s="49"/>
    </row>
    <row r="227">
      <c r="A227" s="48"/>
      <c r="E227" s="49"/>
    </row>
    <row r="228">
      <c r="A228" s="48"/>
      <c r="E228" s="49"/>
    </row>
    <row r="229">
      <c r="A229" s="48"/>
      <c r="E229" s="49"/>
    </row>
    <row r="230">
      <c r="A230" s="48"/>
      <c r="E230" s="49"/>
    </row>
    <row r="231">
      <c r="A231" s="48"/>
      <c r="E231" s="49"/>
    </row>
    <row r="232">
      <c r="A232" s="48"/>
      <c r="E232" s="49"/>
    </row>
    <row r="233">
      <c r="A233" s="48"/>
      <c r="E233" s="49"/>
    </row>
    <row r="234">
      <c r="A234" s="48"/>
      <c r="E234" s="49"/>
    </row>
    <row r="235">
      <c r="A235" s="48"/>
      <c r="E235" s="49"/>
    </row>
    <row r="236">
      <c r="A236" s="48"/>
      <c r="E236" s="49"/>
    </row>
    <row r="237">
      <c r="A237" s="48"/>
      <c r="E237" s="49"/>
    </row>
    <row r="238">
      <c r="A238" s="48"/>
      <c r="E238" s="49"/>
    </row>
    <row r="239">
      <c r="A239" s="48"/>
      <c r="E239" s="49"/>
    </row>
    <row r="240">
      <c r="A240" s="48"/>
      <c r="E240" s="49"/>
    </row>
    <row r="241">
      <c r="A241" s="48"/>
      <c r="E241" s="49"/>
    </row>
    <row r="242">
      <c r="A242" s="48"/>
      <c r="E242" s="49"/>
    </row>
    <row r="243">
      <c r="A243" s="48"/>
      <c r="E243" s="49"/>
    </row>
    <row r="244">
      <c r="A244" s="48"/>
      <c r="E244" s="49"/>
    </row>
    <row r="245">
      <c r="A245" s="48"/>
      <c r="E245" s="49"/>
    </row>
    <row r="246">
      <c r="A246" s="48"/>
      <c r="E246" s="49"/>
    </row>
    <row r="247">
      <c r="A247" s="48"/>
      <c r="E247" s="49"/>
    </row>
    <row r="248">
      <c r="A248" s="48"/>
      <c r="E248" s="49"/>
    </row>
    <row r="249">
      <c r="A249" s="48"/>
      <c r="E249" s="49"/>
    </row>
    <row r="250">
      <c r="A250" s="48"/>
      <c r="E250" s="49"/>
    </row>
    <row r="251">
      <c r="A251" s="48"/>
      <c r="E251" s="49"/>
    </row>
    <row r="252">
      <c r="A252" s="48"/>
      <c r="E252" s="49"/>
    </row>
    <row r="253">
      <c r="A253" s="48"/>
      <c r="E253" s="49"/>
    </row>
    <row r="254">
      <c r="A254" s="48"/>
      <c r="E254" s="49"/>
    </row>
    <row r="255">
      <c r="A255" s="48"/>
      <c r="E255" s="49"/>
    </row>
    <row r="256">
      <c r="A256" s="48"/>
      <c r="E256" s="49"/>
    </row>
    <row r="257">
      <c r="A257" s="48"/>
      <c r="E257" s="49"/>
    </row>
    <row r="258">
      <c r="A258" s="48"/>
      <c r="E258" s="49"/>
    </row>
    <row r="259">
      <c r="A259" s="48"/>
      <c r="E259" s="49"/>
    </row>
    <row r="260">
      <c r="A260" s="48"/>
      <c r="E260" s="49"/>
    </row>
    <row r="261">
      <c r="A261" s="48"/>
      <c r="E261" s="49"/>
    </row>
    <row r="262">
      <c r="A262" s="48"/>
      <c r="E262" s="49"/>
    </row>
    <row r="263">
      <c r="A263" s="48"/>
      <c r="E263" s="49"/>
    </row>
    <row r="264">
      <c r="A264" s="48"/>
      <c r="E264" s="49"/>
    </row>
    <row r="265">
      <c r="A265" s="48"/>
      <c r="E265" s="49"/>
    </row>
    <row r="266">
      <c r="A266" s="48"/>
      <c r="E266" s="49"/>
    </row>
    <row r="267">
      <c r="A267" s="48"/>
      <c r="E267" s="49"/>
    </row>
    <row r="268">
      <c r="A268" s="48"/>
      <c r="E268" s="49"/>
    </row>
    <row r="269">
      <c r="A269" s="48"/>
      <c r="E269" s="49"/>
    </row>
    <row r="270">
      <c r="A270" s="48"/>
      <c r="E270" s="49"/>
    </row>
    <row r="271">
      <c r="A271" s="48"/>
      <c r="E271" s="49"/>
    </row>
    <row r="272">
      <c r="A272" s="48"/>
      <c r="E272" s="49"/>
    </row>
    <row r="273">
      <c r="A273" s="48"/>
      <c r="E273" s="49"/>
    </row>
    <row r="274">
      <c r="A274" s="48"/>
      <c r="E274" s="49"/>
    </row>
    <row r="275">
      <c r="A275" s="48"/>
      <c r="E275" s="49"/>
    </row>
    <row r="276">
      <c r="A276" s="48"/>
      <c r="E276" s="49"/>
    </row>
    <row r="277">
      <c r="A277" s="48"/>
      <c r="E277" s="49"/>
    </row>
    <row r="278">
      <c r="A278" s="48"/>
      <c r="E278" s="49"/>
    </row>
    <row r="279">
      <c r="A279" s="48"/>
      <c r="E279" s="49"/>
    </row>
    <row r="280">
      <c r="A280" s="48"/>
      <c r="E280" s="49"/>
    </row>
    <row r="281">
      <c r="A281" s="48"/>
      <c r="E281" s="49"/>
    </row>
    <row r="282">
      <c r="A282" s="48"/>
      <c r="E282" s="49"/>
    </row>
    <row r="283">
      <c r="A283" s="48"/>
      <c r="E283" s="49"/>
    </row>
    <row r="284">
      <c r="A284" s="48"/>
      <c r="E284" s="49"/>
    </row>
    <row r="285">
      <c r="A285" s="48"/>
      <c r="E285" s="49"/>
    </row>
    <row r="286">
      <c r="A286" s="48"/>
      <c r="E286" s="49"/>
    </row>
    <row r="287">
      <c r="A287" s="48"/>
      <c r="E287" s="49"/>
    </row>
    <row r="288">
      <c r="A288" s="48"/>
      <c r="E288" s="49"/>
    </row>
    <row r="289">
      <c r="A289" s="48"/>
      <c r="E289" s="49"/>
    </row>
    <row r="290">
      <c r="A290" s="48"/>
      <c r="E290" s="49"/>
    </row>
    <row r="291">
      <c r="A291" s="48"/>
      <c r="E291" s="49"/>
    </row>
    <row r="292">
      <c r="A292" s="48"/>
      <c r="E292" s="49"/>
    </row>
    <row r="293">
      <c r="A293" s="48"/>
      <c r="E293" s="49"/>
    </row>
    <row r="294">
      <c r="A294" s="48"/>
      <c r="E294" s="49"/>
    </row>
    <row r="295">
      <c r="A295" s="48"/>
      <c r="E295" s="49"/>
    </row>
    <row r="296">
      <c r="A296" s="48"/>
      <c r="E296" s="49"/>
    </row>
    <row r="297">
      <c r="A297" s="48"/>
      <c r="E297" s="49"/>
    </row>
    <row r="298">
      <c r="A298" s="48"/>
      <c r="E298" s="49"/>
    </row>
    <row r="299">
      <c r="A299" s="48"/>
      <c r="E299" s="49"/>
    </row>
    <row r="300">
      <c r="A300" s="48"/>
      <c r="E300" s="49"/>
    </row>
    <row r="301">
      <c r="A301" s="48"/>
      <c r="E301" s="49"/>
    </row>
    <row r="302">
      <c r="A302" s="48"/>
      <c r="E302" s="49"/>
    </row>
    <row r="303">
      <c r="A303" s="48"/>
      <c r="E303" s="49"/>
    </row>
    <row r="304">
      <c r="A304" s="48"/>
      <c r="E304" s="49"/>
    </row>
    <row r="305">
      <c r="A305" s="48"/>
      <c r="E305" s="49"/>
    </row>
    <row r="306">
      <c r="A306" s="48"/>
      <c r="E306" s="49"/>
    </row>
    <row r="307">
      <c r="A307" s="48"/>
      <c r="E307" s="49"/>
    </row>
    <row r="308">
      <c r="A308" s="48"/>
      <c r="E308" s="49"/>
    </row>
    <row r="309">
      <c r="A309" s="48"/>
      <c r="E309" s="49"/>
    </row>
    <row r="310">
      <c r="A310" s="48"/>
      <c r="E310" s="49"/>
    </row>
    <row r="311">
      <c r="A311" s="48"/>
      <c r="E311" s="49"/>
    </row>
    <row r="312">
      <c r="A312" s="48"/>
      <c r="E312" s="49"/>
    </row>
    <row r="313">
      <c r="A313" s="48"/>
      <c r="E313" s="49"/>
    </row>
    <row r="314">
      <c r="A314" s="48"/>
      <c r="E314" s="49"/>
    </row>
    <row r="315">
      <c r="A315" s="48"/>
      <c r="E315" s="49"/>
    </row>
    <row r="316">
      <c r="A316" s="48"/>
      <c r="E316" s="49"/>
    </row>
    <row r="317">
      <c r="A317" s="48"/>
      <c r="E317" s="49"/>
    </row>
    <row r="318">
      <c r="A318" s="48"/>
      <c r="E318" s="49"/>
    </row>
    <row r="319">
      <c r="A319" s="48"/>
      <c r="E319" s="49"/>
    </row>
    <row r="320">
      <c r="A320" s="48"/>
      <c r="E320" s="49"/>
    </row>
    <row r="321">
      <c r="A321" s="48"/>
      <c r="E321" s="49"/>
    </row>
    <row r="322">
      <c r="A322" s="48"/>
      <c r="E322" s="49"/>
    </row>
    <row r="323">
      <c r="A323" s="48"/>
      <c r="E323" s="49"/>
    </row>
    <row r="324">
      <c r="A324" s="48"/>
      <c r="E324" s="49"/>
    </row>
    <row r="325">
      <c r="A325" s="48"/>
      <c r="E325" s="49"/>
    </row>
    <row r="326">
      <c r="A326" s="48"/>
      <c r="E326" s="49"/>
    </row>
    <row r="327">
      <c r="A327" s="48"/>
      <c r="E327" s="49"/>
    </row>
    <row r="328">
      <c r="A328" s="48"/>
      <c r="E328" s="49"/>
    </row>
    <row r="329">
      <c r="A329" s="48"/>
      <c r="E329" s="49"/>
    </row>
    <row r="330">
      <c r="A330" s="48"/>
      <c r="E330" s="49"/>
    </row>
    <row r="331">
      <c r="A331" s="48"/>
      <c r="E331" s="49"/>
    </row>
    <row r="332">
      <c r="A332" s="48"/>
      <c r="E332" s="49"/>
    </row>
    <row r="333">
      <c r="A333" s="48"/>
      <c r="E333" s="49"/>
    </row>
    <row r="334">
      <c r="A334" s="48"/>
      <c r="E334" s="49"/>
    </row>
    <row r="335">
      <c r="A335" s="48"/>
      <c r="E335" s="49"/>
    </row>
    <row r="336">
      <c r="A336" s="48"/>
      <c r="E336" s="49"/>
    </row>
    <row r="337">
      <c r="A337" s="48"/>
      <c r="E337" s="49"/>
    </row>
    <row r="338">
      <c r="A338" s="48"/>
      <c r="E338" s="49"/>
    </row>
    <row r="339">
      <c r="A339" s="48"/>
      <c r="E339" s="49"/>
    </row>
    <row r="340">
      <c r="A340" s="48"/>
      <c r="E340" s="49"/>
    </row>
    <row r="341">
      <c r="A341" s="48"/>
      <c r="E341" s="49"/>
    </row>
    <row r="342">
      <c r="A342" s="48"/>
      <c r="E342" s="49"/>
    </row>
    <row r="343">
      <c r="A343" s="48"/>
      <c r="E343" s="49"/>
    </row>
    <row r="344">
      <c r="A344" s="48"/>
      <c r="E344" s="49"/>
    </row>
    <row r="345">
      <c r="A345" s="48"/>
      <c r="E345" s="49"/>
    </row>
    <row r="346">
      <c r="A346" s="48"/>
      <c r="E346" s="49"/>
    </row>
    <row r="347">
      <c r="A347" s="48"/>
      <c r="E347" s="49"/>
    </row>
    <row r="348">
      <c r="A348" s="48"/>
      <c r="E348" s="49"/>
    </row>
    <row r="349">
      <c r="A349" s="48"/>
      <c r="E349" s="49"/>
    </row>
    <row r="350">
      <c r="A350" s="48"/>
      <c r="E350" s="49"/>
    </row>
    <row r="351">
      <c r="A351" s="48"/>
      <c r="E351" s="49"/>
    </row>
    <row r="352">
      <c r="A352" s="48"/>
      <c r="E352" s="49"/>
    </row>
    <row r="353">
      <c r="A353" s="48"/>
      <c r="E353" s="49"/>
    </row>
    <row r="354">
      <c r="A354" s="48"/>
      <c r="E354" s="49"/>
    </row>
    <row r="355">
      <c r="A355" s="48"/>
      <c r="E355" s="49"/>
    </row>
    <row r="356">
      <c r="A356" s="48"/>
      <c r="E356" s="49"/>
    </row>
    <row r="357">
      <c r="A357" s="48"/>
      <c r="E357" s="49"/>
    </row>
    <row r="358">
      <c r="A358" s="48"/>
      <c r="E358" s="49"/>
    </row>
    <row r="359">
      <c r="A359" s="48"/>
      <c r="E359" s="49"/>
    </row>
    <row r="360">
      <c r="A360" s="48"/>
      <c r="E360" s="49"/>
    </row>
    <row r="361">
      <c r="A361" s="48"/>
      <c r="E361" s="49"/>
    </row>
    <row r="362">
      <c r="A362" s="48"/>
      <c r="E362" s="49"/>
    </row>
    <row r="363">
      <c r="A363" s="48"/>
      <c r="E363" s="49"/>
    </row>
    <row r="364">
      <c r="A364" s="48"/>
      <c r="E364" s="49"/>
    </row>
    <row r="365">
      <c r="A365" s="48"/>
      <c r="E365" s="49"/>
    </row>
    <row r="366">
      <c r="A366" s="48"/>
      <c r="E366" s="49"/>
    </row>
    <row r="367">
      <c r="A367" s="48"/>
      <c r="E367" s="49"/>
    </row>
    <row r="368">
      <c r="A368" s="48"/>
      <c r="E368" s="49"/>
    </row>
    <row r="369">
      <c r="A369" s="48"/>
      <c r="E369" s="49"/>
    </row>
    <row r="370">
      <c r="A370" s="48"/>
      <c r="E370" s="49"/>
    </row>
    <row r="371">
      <c r="A371" s="48"/>
      <c r="E371" s="49"/>
    </row>
    <row r="372">
      <c r="A372" s="48"/>
      <c r="E372" s="49"/>
    </row>
    <row r="373">
      <c r="A373" s="48"/>
      <c r="E373" s="49"/>
    </row>
    <row r="374">
      <c r="A374" s="48"/>
      <c r="E374" s="49"/>
    </row>
    <row r="375">
      <c r="A375" s="48"/>
      <c r="E375" s="49"/>
    </row>
    <row r="376">
      <c r="A376" s="48"/>
      <c r="E376" s="49"/>
    </row>
    <row r="377">
      <c r="A377" s="48"/>
      <c r="E377" s="49"/>
    </row>
    <row r="378">
      <c r="A378" s="48"/>
      <c r="E378" s="49"/>
    </row>
    <row r="379">
      <c r="A379" s="48"/>
      <c r="E379" s="49"/>
    </row>
    <row r="380">
      <c r="A380" s="48"/>
      <c r="E380" s="49"/>
    </row>
    <row r="381">
      <c r="A381" s="48"/>
      <c r="E381" s="49"/>
    </row>
    <row r="382">
      <c r="A382" s="48"/>
      <c r="E382" s="49"/>
    </row>
    <row r="383">
      <c r="A383" s="48"/>
      <c r="E383" s="49"/>
    </row>
    <row r="384">
      <c r="A384" s="48"/>
      <c r="E384" s="49"/>
    </row>
    <row r="385">
      <c r="A385" s="48"/>
      <c r="E385" s="49"/>
    </row>
    <row r="386">
      <c r="A386" s="48"/>
      <c r="E386" s="49"/>
    </row>
    <row r="387">
      <c r="A387" s="48"/>
      <c r="E387" s="49"/>
    </row>
    <row r="388">
      <c r="A388" s="48"/>
      <c r="E388" s="49"/>
    </row>
    <row r="389">
      <c r="A389" s="48"/>
      <c r="E389" s="49"/>
    </row>
    <row r="390">
      <c r="A390" s="48"/>
      <c r="E390" s="49"/>
    </row>
    <row r="391">
      <c r="A391" s="48"/>
      <c r="E391" s="49"/>
    </row>
    <row r="392">
      <c r="A392" s="48"/>
      <c r="E392" s="49"/>
    </row>
    <row r="393">
      <c r="A393" s="48"/>
      <c r="E393" s="49"/>
    </row>
    <row r="394">
      <c r="A394" s="48"/>
      <c r="E394" s="49"/>
    </row>
    <row r="395">
      <c r="A395" s="48"/>
      <c r="E395" s="49"/>
    </row>
    <row r="396">
      <c r="A396" s="48"/>
      <c r="E396" s="49"/>
    </row>
    <row r="397">
      <c r="A397" s="48"/>
      <c r="E397" s="49"/>
    </row>
    <row r="398">
      <c r="A398" s="48"/>
      <c r="E398" s="49"/>
    </row>
    <row r="399">
      <c r="A399" s="48"/>
      <c r="E399" s="49"/>
    </row>
    <row r="400">
      <c r="A400" s="48"/>
      <c r="E400" s="49"/>
    </row>
    <row r="401">
      <c r="A401" s="48"/>
      <c r="E401" s="49"/>
    </row>
    <row r="402">
      <c r="A402" s="48"/>
      <c r="E402" s="49"/>
    </row>
    <row r="403">
      <c r="A403" s="48"/>
      <c r="E403" s="49"/>
    </row>
    <row r="404">
      <c r="A404" s="48"/>
      <c r="E404" s="49"/>
    </row>
    <row r="405">
      <c r="A405" s="48"/>
      <c r="E405" s="49"/>
    </row>
    <row r="406">
      <c r="A406" s="48"/>
      <c r="E406" s="49"/>
    </row>
    <row r="407">
      <c r="A407" s="48"/>
      <c r="E407" s="49"/>
    </row>
    <row r="408">
      <c r="A408" s="48"/>
      <c r="E408" s="49"/>
    </row>
    <row r="409">
      <c r="A409" s="48"/>
      <c r="E409" s="49"/>
    </row>
    <row r="410">
      <c r="A410" s="48"/>
      <c r="E410" s="49"/>
    </row>
    <row r="411">
      <c r="A411" s="48"/>
      <c r="E411" s="49"/>
    </row>
    <row r="412">
      <c r="A412" s="48"/>
      <c r="E412" s="49"/>
    </row>
    <row r="413">
      <c r="A413" s="48"/>
      <c r="E413" s="49"/>
    </row>
    <row r="414">
      <c r="A414" s="48"/>
      <c r="E414" s="49"/>
    </row>
    <row r="415">
      <c r="A415" s="48"/>
      <c r="E415" s="49"/>
    </row>
    <row r="416">
      <c r="A416" s="48"/>
      <c r="E416" s="49"/>
    </row>
    <row r="417">
      <c r="A417" s="48"/>
      <c r="E417" s="49"/>
    </row>
    <row r="418">
      <c r="A418" s="48"/>
      <c r="E418" s="49"/>
    </row>
    <row r="419">
      <c r="A419" s="48"/>
      <c r="E419" s="49"/>
    </row>
    <row r="420">
      <c r="A420" s="48"/>
      <c r="E420" s="49"/>
    </row>
    <row r="421">
      <c r="A421" s="48"/>
      <c r="E421" s="49"/>
    </row>
    <row r="422">
      <c r="A422" s="48"/>
      <c r="E422" s="49"/>
    </row>
    <row r="423">
      <c r="A423" s="48"/>
      <c r="E423" s="49"/>
    </row>
    <row r="424">
      <c r="A424" s="48"/>
      <c r="E424" s="49"/>
    </row>
    <row r="425">
      <c r="A425" s="48"/>
      <c r="E425" s="49"/>
    </row>
    <row r="426">
      <c r="A426" s="48"/>
      <c r="E426" s="49"/>
    </row>
    <row r="427">
      <c r="A427" s="48"/>
      <c r="E427" s="49"/>
    </row>
    <row r="428">
      <c r="A428" s="48"/>
      <c r="E428" s="49"/>
    </row>
    <row r="429">
      <c r="A429" s="48"/>
      <c r="E429" s="49"/>
    </row>
    <row r="430">
      <c r="A430" s="48"/>
      <c r="E430" s="49"/>
    </row>
    <row r="431">
      <c r="A431" s="48"/>
      <c r="E431" s="49"/>
    </row>
    <row r="432">
      <c r="A432" s="48"/>
      <c r="E432" s="49"/>
    </row>
    <row r="433">
      <c r="A433" s="48"/>
      <c r="E433" s="49"/>
    </row>
    <row r="434">
      <c r="A434" s="48"/>
      <c r="E434" s="49"/>
    </row>
    <row r="435">
      <c r="A435" s="48"/>
      <c r="E435" s="49"/>
    </row>
    <row r="436">
      <c r="A436" s="48"/>
      <c r="E436" s="49"/>
    </row>
    <row r="437">
      <c r="A437" s="48"/>
      <c r="E437" s="49"/>
    </row>
    <row r="438">
      <c r="A438" s="48"/>
      <c r="E438" s="49"/>
    </row>
    <row r="439">
      <c r="A439" s="48"/>
      <c r="E439" s="49"/>
    </row>
    <row r="440">
      <c r="A440" s="48"/>
      <c r="E440" s="49"/>
    </row>
    <row r="441">
      <c r="A441" s="48"/>
      <c r="E441" s="49"/>
    </row>
    <row r="442">
      <c r="A442" s="48"/>
      <c r="E442" s="49"/>
    </row>
    <row r="443">
      <c r="A443" s="48"/>
      <c r="E443" s="49"/>
    </row>
    <row r="444">
      <c r="A444" s="48"/>
      <c r="E444" s="49"/>
    </row>
    <row r="445">
      <c r="A445" s="48"/>
      <c r="E445" s="49"/>
    </row>
    <row r="446">
      <c r="A446" s="48"/>
      <c r="E446" s="49"/>
    </row>
    <row r="447">
      <c r="A447" s="48"/>
      <c r="E447" s="49"/>
    </row>
    <row r="448">
      <c r="A448" s="48"/>
      <c r="E448" s="49"/>
    </row>
    <row r="449">
      <c r="A449" s="48"/>
      <c r="E449" s="49"/>
    </row>
    <row r="450">
      <c r="A450" s="48"/>
      <c r="E450" s="49"/>
    </row>
    <row r="451">
      <c r="A451" s="48"/>
      <c r="E451" s="49"/>
    </row>
    <row r="452">
      <c r="A452" s="48"/>
      <c r="E452" s="49"/>
    </row>
    <row r="453">
      <c r="A453" s="48"/>
      <c r="E453" s="49"/>
    </row>
    <row r="454">
      <c r="A454" s="48"/>
      <c r="E454" s="49"/>
    </row>
    <row r="455">
      <c r="A455" s="48"/>
      <c r="E455" s="49"/>
    </row>
    <row r="456">
      <c r="A456" s="48"/>
      <c r="E456" s="49"/>
    </row>
    <row r="457">
      <c r="A457" s="48"/>
      <c r="E457" s="49"/>
    </row>
    <row r="458">
      <c r="A458" s="48"/>
      <c r="E458" s="49"/>
    </row>
    <row r="459">
      <c r="A459" s="48"/>
      <c r="E459" s="49"/>
    </row>
    <row r="460">
      <c r="A460" s="48"/>
      <c r="E460" s="49"/>
    </row>
    <row r="461">
      <c r="A461" s="48"/>
      <c r="E461" s="49"/>
    </row>
    <row r="462">
      <c r="A462" s="48"/>
      <c r="E462" s="49"/>
    </row>
    <row r="463">
      <c r="A463" s="48"/>
      <c r="E463" s="49"/>
    </row>
    <row r="464">
      <c r="A464" s="48"/>
      <c r="E464" s="49"/>
    </row>
    <row r="465">
      <c r="A465" s="48"/>
      <c r="E465" s="49"/>
    </row>
    <row r="466">
      <c r="A466" s="48"/>
      <c r="E466" s="49"/>
    </row>
    <row r="467">
      <c r="A467" s="48"/>
      <c r="E467" s="49"/>
    </row>
    <row r="468">
      <c r="A468" s="48"/>
      <c r="E468" s="49"/>
    </row>
    <row r="469">
      <c r="A469" s="48"/>
      <c r="E469" s="49"/>
    </row>
    <row r="470">
      <c r="A470" s="48"/>
      <c r="E470" s="49"/>
    </row>
    <row r="471">
      <c r="A471" s="48"/>
      <c r="E471" s="49"/>
    </row>
    <row r="472">
      <c r="A472" s="48"/>
      <c r="E472" s="49"/>
    </row>
    <row r="473">
      <c r="A473" s="48"/>
      <c r="E473" s="49"/>
    </row>
    <row r="474">
      <c r="A474" s="48"/>
      <c r="E474" s="49"/>
    </row>
    <row r="475">
      <c r="A475" s="48"/>
      <c r="E475" s="49"/>
    </row>
    <row r="476">
      <c r="A476" s="48"/>
      <c r="E476" s="49"/>
    </row>
    <row r="477">
      <c r="A477" s="48"/>
      <c r="E477" s="49"/>
    </row>
    <row r="478">
      <c r="A478" s="48"/>
      <c r="E478" s="49"/>
    </row>
    <row r="479">
      <c r="A479" s="48"/>
      <c r="E479" s="49"/>
    </row>
    <row r="480">
      <c r="A480" s="48"/>
      <c r="E480" s="49"/>
    </row>
    <row r="481">
      <c r="A481" s="48"/>
      <c r="E481" s="49"/>
    </row>
    <row r="482">
      <c r="A482" s="48"/>
      <c r="E482" s="49"/>
    </row>
    <row r="483">
      <c r="A483" s="48"/>
      <c r="E483" s="49"/>
    </row>
    <row r="484">
      <c r="A484" s="48"/>
      <c r="E484" s="49"/>
    </row>
    <row r="485">
      <c r="A485" s="48"/>
      <c r="E485" s="49"/>
    </row>
    <row r="486">
      <c r="A486" s="48"/>
      <c r="E486" s="49"/>
    </row>
    <row r="487">
      <c r="A487" s="48"/>
      <c r="E487" s="49"/>
    </row>
    <row r="488">
      <c r="A488" s="48"/>
      <c r="E488" s="49"/>
    </row>
    <row r="489">
      <c r="A489" s="48"/>
      <c r="E489" s="49"/>
    </row>
    <row r="490">
      <c r="A490" s="48"/>
      <c r="E490" s="49"/>
    </row>
    <row r="491">
      <c r="A491" s="48"/>
      <c r="E491" s="49"/>
    </row>
    <row r="492">
      <c r="A492" s="48"/>
      <c r="E492" s="49"/>
    </row>
    <row r="493">
      <c r="A493" s="48"/>
      <c r="E493" s="49"/>
    </row>
    <row r="494">
      <c r="A494" s="48"/>
      <c r="E494" s="49"/>
    </row>
    <row r="495">
      <c r="A495" s="48"/>
      <c r="E495" s="49"/>
    </row>
    <row r="496">
      <c r="A496" s="48"/>
      <c r="E496" s="49"/>
    </row>
    <row r="497">
      <c r="A497" s="48"/>
      <c r="E497" s="49"/>
    </row>
    <row r="498">
      <c r="A498" s="48"/>
      <c r="E498" s="49"/>
    </row>
    <row r="499">
      <c r="A499" s="48"/>
      <c r="E499" s="49"/>
    </row>
    <row r="500">
      <c r="A500" s="48"/>
      <c r="E500" s="49"/>
    </row>
    <row r="501">
      <c r="A501" s="48"/>
      <c r="E501" s="49"/>
    </row>
    <row r="502">
      <c r="A502" s="48"/>
      <c r="E502" s="49"/>
    </row>
    <row r="503">
      <c r="A503" s="48"/>
      <c r="E503" s="49"/>
    </row>
    <row r="504">
      <c r="A504" s="48"/>
      <c r="E504" s="49"/>
    </row>
    <row r="505">
      <c r="A505" s="48"/>
      <c r="E505" s="49"/>
    </row>
    <row r="506">
      <c r="A506" s="48"/>
      <c r="E506" s="49"/>
    </row>
    <row r="507">
      <c r="A507" s="48"/>
      <c r="E507" s="49"/>
    </row>
    <row r="508">
      <c r="A508" s="48"/>
      <c r="E508" s="49"/>
    </row>
    <row r="509">
      <c r="A509" s="48"/>
      <c r="E509" s="49"/>
    </row>
    <row r="510">
      <c r="A510" s="48"/>
      <c r="E510" s="49"/>
    </row>
    <row r="511">
      <c r="A511" s="48"/>
      <c r="E511" s="49"/>
    </row>
    <row r="512">
      <c r="A512" s="48"/>
      <c r="E512" s="49"/>
    </row>
    <row r="513">
      <c r="A513" s="48"/>
      <c r="E513" s="49"/>
    </row>
    <row r="514">
      <c r="A514" s="48"/>
      <c r="E514" s="49"/>
    </row>
    <row r="515">
      <c r="A515" s="48"/>
      <c r="E515" s="49"/>
    </row>
    <row r="516">
      <c r="A516" s="48"/>
      <c r="E516" s="49"/>
    </row>
    <row r="517">
      <c r="A517" s="48"/>
      <c r="E517" s="49"/>
    </row>
    <row r="518">
      <c r="A518" s="48"/>
      <c r="E518" s="49"/>
    </row>
    <row r="519">
      <c r="A519" s="48"/>
      <c r="E519" s="49"/>
    </row>
    <row r="520">
      <c r="A520" s="48"/>
      <c r="E520" s="49"/>
    </row>
    <row r="521">
      <c r="A521" s="48"/>
      <c r="E521" s="49"/>
    </row>
    <row r="522">
      <c r="A522" s="48"/>
      <c r="E522" s="49"/>
    </row>
    <row r="523">
      <c r="A523" s="48"/>
      <c r="E523" s="49"/>
    </row>
    <row r="524">
      <c r="A524" s="48"/>
      <c r="E524" s="49"/>
    </row>
    <row r="525">
      <c r="A525" s="48"/>
      <c r="E525" s="49"/>
    </row>
    <row r="526">
      <c r="A526" s="48"/>
      <c r="E526" s="49"/>
    </row>
    <row r="527">
      <c r="A527" s="48"/>
      <c r="E527" s="49"/>
    </row>
    <row r="528">
      <c r="A528" s="48"/>
      <c r="E528" s="49"/>
    </row>
    <row r="529">
      <c r="A529" s="48"/>
      <c r="E529" s="49"/>
    </row>
    <row r="530">
      <c r="A530" s="48"/>
      <c r="E530" s="49"/>
    </row>
    <row r="531">
      <c r="A531" s="48"/>
      <c r="E531" s="49"/>
    </row>
    <row r="532">
      <c r="A532" s="48"/>
      <c r="E532" s="49"/>
    </row>
    <row r="533">
      <c r="A533" s="48"/>
      <c r="E533" s="49"/>
    </row>
    <row r="534">
      <c r="A534" s="48"/>
      <c r="E534" s="49"/>
    </row>
    <row r="535">
      <c r="A535" s="48"/>
      <c r="E535" s="49"/>
    </row>
    <row r="536">
      <c r="A536" s="48"/>
      <c r="E536" s="49"/>
    </row>
    <row r="537">
      <c r="A537" s="48"/>
      <c r="E537" s="49"/>
    </row>
    <row r="538">
      <c r="A538" s="48"/>
      <c r="E538" s="49"/>
    </row>
    <row r="539">
      <c r="A539" s="48"/>
      <c r="E539" s="49"/>
    </row>
    <row r="540">
      <c r="A540" s="48"/>
      <c r="E540" s="49"/>
    </row>
    <row r="541">
      <c r="A541" s="48"/>
      <c r="E541" s="49"/>
    </row>
    <row r="542">
      <c r="A542" s="48"/>
      <c r="E542" s="49"/>
    </row>
    <row r="543">
      <c r="A543" s="48"/>
      <c r="E543" s="49"/>
    </row>
    <row r="544">
      <c r="A544" s="48"/>
      <c r="E544" s="49"/>
    </row>
    <row r="545">
      <c r="A545" s="48"/>
      <c r="E545" s="49"/>
    </row>
    <row r="546">
      <c r="A546" s="48"/>
      <c r="E546" s="49"/>
    </row>
    <row r="547">
      <c r="A547" s="48"/>
      <c r="E547" s="49"/>
    </row>
    <row r="548">
      <c r="A548" s="48"/>
      <c r="E548" s="49"/>
    </row>
    <row r="549">
      <c r="A549" s="48"/>
      <c r="E549" s="49"/>
    </row>
    <row r="550">
      <c r="A550" s="48"/>
      <c r="E550" s="49"/>
    </row>
    <row r="551">
      <c r="A551" s="48"/>
      <c r="E551" s="49"/>
    </row>
    <row r="552">
      <c r="A552" s="48"/>
      <c r="E552" s="49"/>
    </row>
    <row r="553">
      <c r="A553" s="48"/>
      <c r="E553" s="49"/>
    </row>
    <row r="554">
      <c r="A554" s="48"/>
      <c r="E554" s="49"/>
    </row>
    <row r="555">
      <c r="A555" s="48"/>
      <c r="E555" s="49"/>
    </row>
    <row r="556">
      <c r="A556" s="48"/>
      <c r="E556" s="49"/>
    </row>
    <row r="557">
      <c r="A557" s="48"/>
      <c r="E557" s="49"/>
    </row>
    <row r="558">
      <c r="A558" s="48"/>
      <c r="E558" s="49"/>
    </row>
    <row r="559">
      <c r="A559" s="48"/>
      <c r="E559" s="49"/>
    </row>
    <row r="560">
      <c r="A560" s="48"/>
      <c r="E560" s="49"/>
    </row>
    <row r="561">
      <c r="A561" s="48"/>
      <c r="E561" s="49"/>
    </row>
    <row r="562">
      <c r="A562" s="48"/>
      <c r="E562" s="49"/>
    </row>
    <row r="563">
      <c r="A563" s="48"/>
      <c r="E563" s="49"/>
    </row>
    <row r="564">
      <c r="A564" s="48"/>
      <c r="E564" s="49"/>
    </row>
    <row r="565">
      <c r="A565" s="48"/>
      <c r="E565" s="49"/>
    </row>
    <row r="566">
      <c r="A566" s="48"/>
      <c r="E566" s="49"/>
    </row>
    <row r="567">
      <c r="A567" s="48"/>
      <c r="E567" s="49"/>
    </row>
    <row r="568">
      <c r="A568" s="48"/>
      <c r="E568" s="49"/>
    </row>
    <row r="569">
      <c r="A569" s="48"/>
      <c r="E569" s="49"/>
    </row>
    <row r="570">
      <c r="A570" s="48"/>
      <c r="E570" s="49"/>
    </row>
    <row r="571">
      <c r="A571" s="48"/>
      <c r="E571" s="49"/>
    </row>
    <row r="572">
      <c r="A572" s="48"/>
      <c r="E572" s="49"/>
    </row>
    <row r="573">
      <c r="A573" s="48"/>
      <c r="E573" s="49"/>
    </row>
    <row r="574">
      <c r="A574" s="48"/>
      <c r="E574" s="49"/>
    </row>
    <row r="575">
      <c r="A575" s="48"/>
      <c r="E575" s="49"/>
    </row>
    <row r="576">
      <c r="A576" s="48"/>
      <c r="E576" s="49"/>
    </row>
    <row r="577">
      <c r="A577" s="48"/>
      <c r="E577" s="49"/>
    </row>
    <row r="578">
      <c r="A578" s="48"/>
      <c r="E578" s="49"/>
    </row>
    <row r="579">
      <c r="A579" s="48"/>
      <c r="E579" s="49"/>
    </row>
    <row r="580">
      <c r="A580" s="48"/>
      <c r="E580" s="49"/>
    </row>
    <row r="581">
      <c r="A581" s="48"/>
      <c r="E581" s="49"/>
    </row>
    <row r="582">
      <c r="A582" s="48"/>
      <c r="E582" s="49"/>
    </row>
    <row r="583">
      <c r="A583" s="48"/>
      <c r="E583" s="49"/>
    </row>
    <row r="584">
      <c r="A584" s="48"/>
      <c r="E584" s="49"/>
    </row>
    <row r="585">
      <c r="A585" s="48"/>
      <c r="E585" s="49"/>
    </row>
    <row r="586">
      <c r="A586" s="48"/>
      <c r="E586" s="49"/>
    </row>
    <row r="587">
      <c r="A587" s="48"/>
      <c r="E587" s="49"/>
    </row>
    <row r="588">
      <c r="A588" s="48"/>
      <c r="E588" s="49"/>
    </row>
    <row r="589">
      <c r="A589" s="48"/>
      <c r="E589" s="49"/>
    </row>
    <row r="590">
      <c r="A590" s="48"/>
      <c r="E590" s="49"/>
    </row>
    <row r="591">
      <c r="A591" s="48"/>
      <c r="E591" s="49"/>
    </row>
    <row r="592">
      <c r="A592" s="48"/>
      <c r="E592" s="49"/>
    </row>
    <row r="593">
      <c r="A593" s="48"/>
      <c r="E593" s="49"/>
    </row>
    <row r="594">
      <c r="A594" s="48"/>
      <c r="E594" s="49"/>
    </row>
    <row r="595">
      <c r="A595" s="48"/>
      <c r="E595" s="49"/>
    </row>
    <row r="596">
      <c r="A596" s="48"/>
      <c r="E596" s="49"/>
    </row>
    <row r="597">
      <c r="A597" s="48"/>
      <c r="E597" s="49"/>
    </row>
    <row r="598">
      <c r="A598" s="48"/>
      <c r="E598" s="49"/>
    </row>
    <row r="599">
      <c r="A599" s="48"/>
      <c r="E599" s="49"/>
    </row>
    <row r="600">
      <c r="A600" s="48"/>
      <c r="E600" s="49"/>
    </row>
    <row r="601">
      <c r="A601" s="48"/>
      <c r="E601" s="49"/>
    </row>
    <row r="602">
      <c r="A602" s="48"/>
      <c r="E602" s="49"/>
    </row>
    <row r="603">
      <c r="A603" s="48"/>
      <c r="E603" s="49"/>
    </row>
    <row r="604">
      <c r="A604" s="48"/>
      <c r="E604" s="49"/>
    </row>
    <row r="605">
      <c r="A605" s="48"/>
      <c r="E605" s="49"/>
    </row>
    <row r="606">
      <c r="A606" s="48"/>
      <c r="E606" s="49"/>
    </row>
    <row r="607">
      <c r="A607" s="48"/>
      <c r="E607" s="49"/>
    </row>
    <row r="608">
      <c r="A608" s="48"/>
      <c r="E608" s="49"/>
    </row>
    <row r="609">
      <c r="A609" s="48"/>
      <c r="E609" s="49"/>
    </row>
    <row r="610">
      <c r="A610" s="48"/>
      <c r="E610" s="49"/>
    </row>
    <row r="611">
      <c r="A611" s="48"/>
      <c r="E611" s="49"/>
    </row>
    <row r="612">
      <c r="A612" s="48"/>
      <c r="E612" s="49"/>
    </row>
    <row r="613">
      <c r="A613" s="48"/>
      <c r="E613" s="49"/>
    </row>
    <row r="614">
      <c r="A614" s="48"/>
      <c r="E614" s="49"/>
    </row>
    <row r="615">
      <c r="A615" s="48"/>
      <c r="E615" s="49"/>
    </row>
    <row r="616">
      <c r="A616" s="48"/>
      <c r="E616" s="49"/>
    </row>
    <row r="617">
      <c r="A617" s="48"/>
      <c r="E617" s="49"/>
    </row>
    <row r="618">
      <c r="A618" s="48"/>
      <c r="E618" s="49"/>
    </row>
    <row r="619">
      <c r="A619" s="48"/>
      <c r="E619" s="49"/>
    </row>
    <row r="620">
      <c r="A620" s="48"/>
      <c r="E620" s="49"/>
    </row>
    <row r="621">
      <c r="A621" s="48"/>
      <c r="E621" s="49"/>
    </row>
    <row r="622">
      <c r="A622" s="48"/>
      <c r="E622" s="49"/>
    </row>
    <row r="623">
      <c r="A623" s="48"/>
      <c r="E623" s="49"/>
    </row>
    <row r="624">
      <c r="A624" s="48"/>
      <c r="E624" s="49"/>
    </row>
    <row r="625">
      <c r="A625" s="48"/>
      <c r="E625" s="49"/>
    </row>
    <row r="626">
      <c r="A626" s="48"/>
      <c r="E626" s="49"/>
    </row>
    <row r="627">
      <c r="A627" s="48"/>
      <c r="E627" s="49"/>
    </row>
    <row r="628">
      <c r="A628" s="48"/>
      <c r="E628" s="49"/>
    </row>
    <row r="629">
      <c r="A629" s="48"/>
      <c r="E629" s="49"/>
    </row>
    <row r="630">
      <c r="A630" s="48"/>
      <c r="E630" s="49"/>
    </row>
    <row r="631">
      <c r="A631" s="48"/>
      <c r="E631" s="49"/>
    </row>
    <row r="632">
      <c r="A632" s="48"/>
      <c r="E632" s="49"/>
    </row>
    <row r="633">
      <c r="A633" s="48"/>
      <c r="E633" s="49"/>
    </row>
    <row r="634">
      <c r="A634" s="48"/>
      <c r="E634" s="49"/>
    </row>
    <row r="635">
      <c r="A635" s="48"/>
      <c r="E635" s="49"/>
    </row>
    <row r="636">
      <c r="A636" s="48"/>
      <c r="E636" s="49"/>
    </row>
    <row r="637">
      <c r="A637" s="48"/>
      <c r="E637" s="49"/>
    </row>
    <row r="638">
      <c r="A638" s="48"/>
      <c r="E638" s="49"/>
    </row>
    <row r="639">
      <c r="A639" s="48"/>
      <c r="E639" s="49"/>
    </row>
    <row r="640">
      <c r="A640" s="48"/>
      <c r="E640" s="49"/>
    </row>
    <row r="641">
      <c r="A641" s="48"/>
      <c r="E641" s="49"/>
    </row>
    <row r="642">
      <c r="A642" s="48"/>
      <c r="E642" s="49"/>
    </row>
    <row r="643">
      <c r="A643" s="48"/>
      <c r="E643" s="49"/>
    </row>
    <row r="644">
      <c r="A644" s="48"/>
      <c r="E644" s="49"/>
    </row>
    <row r="645">
      <c r="A645" s="48"/>
      <c r="E645" s="49"/>
    </row>
    <row r="646">
      <c r="A646" s="48"/>
      <c r="E646" s="49"/>
    </row>
    <row r="647">
      <c r="A647" s="48"/>
      <c r="E647" s="49"/>
    </row>
    <row r="648">
      <c r="A648" s="48"/>
      <c r="E648" s="49"/>
    </row>
    <row r="649">
      <c r="A649" s="48"/>
      <c r="E649" s="49"/>
    </row>
    <row r="650">
      <c r="A650" s="48"/>
      <c r="E650" s="49"/>
    </row>
    <row r="651">
      <c r="A651" s="48"/>
      <c r="E651" s="49"/>
    </row>
    <row r="652">
      <c r="A652" s="48"/>
      <c r="E652" s="49"/>
    </row>
    <row r="653">
      <c r="A653" s="48"/>
      <c r="E653" s="49"/>
    </row>
    <row r="654">
      <c r="A654" s="48"/>
      <c r="E654" s="49"/>
    </row>
    <row r="655">
      <c r="A655" s="48"/>
      <c r="E655" s="49"/>
    </row>
    <row r="656">
      <c r="A656" s="48"/>
      <c r="E656" s="49"/>
    </row>
    <row r="657">
      <c r="A657" s="48"/>
      <c r="E657" s="49"/>
    </row>
    <row r="658">
      <c r="A658" s="48"/>
      <c r="E658" s="49"/>
    </row>
    <row r="659">
      <c r="A659" s="48"/>
      <c r="E659" s="49"/>
    </row>
    <row r="660">
      <c r="A660" s="48"/>
      <c r="E660" s="49"/>
    </row>
    <row r="661">
      <c r="A661" s="48"/>
      <c r="E661" s="49"/>
    </row>
    <row r="662">
      <c r="A662" s="48"/>
      <c r="E662" s="49"/>
    </row>
    <row r="663">
      <c r="A663" s="48"/>
      <c r="E663" s="49"/>
    </row>
    <row r="664">
      <c r="A664" s="48"/>
      <c r="E664" s="49"/>
    </row>
    <row r="665">
      <c r="A665" s="48"/>
      <c r="E665" s="49"/>
    </row>
    <row r="666">
      <c r="A666" s="48"/>
      <c r="E666" s="49"/>
    </row>
    <row r="667">
      <c r="A667" s="48"/>
      <c r="E667" s="49"/>
    </row>
    <row r="668">
      <c r="A668" s="48"/>
      <c r="E668" s="49"/>
    </row>
    <row r="669">
      <c r="A669" s="48"/>
      <c r="E669" s="49"/>
    </row>
    <row r="670">
      <c r="A670" s="48"/>
      <c r="E670" s="49"/>
    </row>
    <row r="671">
      <c r="A671" s="48"/>
      <c r="E671" s="49"/>
    </row>
    <row r="672">
      <c r="A672" s="48"/>
      <c r="E672" s="49"/>
    </row>
    <row r="673">
      <c r="A673" s="48"/>
      <c r="E673" s="49"/>
    </row>
    <row r="674">
      <c r="A674" s="48"/>
      <c r="E674" s="49"/>
    </row>
    <row r="675">
      <c r="A675" s="48"/>
      <c r="E675" s="49"/>
    </row>
    <row r="676">
      <c r="A676" s="48"/>
      <c r="E676" s="49"/>
    </row>
    <row r="677">
      <c r="A677" s="48"/>
      <c r="E677" s="49"/>
    </row>
    <row r="678">
      <c r="A678" s="48"/>
      <c r="E678" s="49"/>
    </row>
    <row r="679">
      <c r="A679" s="48"/>
      <c r="E679" s="49"/>
    </row>
    <row r="680">
      <c r="A680" s="48"/>
      <c r="E680" s="49"/>
    </row>
    <row r="681">
      <c r="A681" s="48"/>
      <c r="E681" s="49"/>
    </row>
    <row r="682">
      <c r="A682" s="48"/>
      <c r="E682" s="49"/>
    </row>
    <row r="683">
      <c r="A683" s="48"/>
      <c r="E683" s="49"/>
    </row>
    <row r="684">
      <c r="A684" s="48"/>
      <c r="E684" s="49"/>
    </row>
    <row r="685">
      <c r="A685" s="48"/>
      <c r="E685" s="49"/>
    </row>
    <row r="686">
      <c r="A686" s="48"/>
      <c r="E686" s="49"/>
    </row>
    <row r="687">
      <c r="A687" s="48"/>
      <c r="E687" s="49"/>
    </row>
    <row r="688">
      <c r="A688" s="48"/>
      <c r="E688" s="49"/>
    </row>
    <row r="689">
      <c r="A689" s="48"/>
      <c r="E689" s="49"/>
    </row>
    <row r="690">
      <c r="A690" s="48"/>
      <c r="E690" s="49"/>
    </row>
    <row r="691">
      <c r="A691" s="48"/>
      <c r="E691" s="49"/>
    </row>
    <row r="692">
      <c r="A692" s="48"/>
      <c r="E692" s="49"/>
    </row>
    <row r="693">
      <c r="A693" s="48"/>
      <c r="E693" s="49"/>
    </row>
    <row r="694">
      <c r="A694" s="48"/>
      <c r="E694" s="49"/>
    </row>
    <row r="695">
      <c r="A695" s="48"/>
      <c r="E695" s="49"/>
    </row>
    <row r="696">
      <c r="A696" s="48"/>
      <c r="E696" s="49"/>
    </row>
    <row r="697">
      <c r="A697" s="48"/>
      <c r="E697" s="49"/>
    </row>
    <row r="698">
      <c r="A698" s="48"/>
      <c r="E698" s="49"/>
    </row>
    <row r="699">
      <c r="A699" s="48"/>
      <c r="E699" s="49"/>
    </row>
    <row r="700">
      <c r="A700" s="48"/>
      <c r="E700" s="49"/>
    </row>
    <row r="701">
      <c r="A701" s="48"/>
      <c r="E701" s="49"/>
    </row>
    <row r="702">
      <c r="A702" s="48"/>
      <c r="E702" s="49"/>
    </row>
    <row r="703">
      <c r="A703" s="48"/>
      <c r="E703" s="49"/>
    </row>
    <row r="704">
      <c r="A704" s="48"/>
      <c r="E704" s="49"/>
    </row>
    <row r="705">
      <c r="A705" s="48"/>
      <c r="E705" s="49"/>
    </row>
    <row r="706">
      <c r="A706" s="48"/>
      <c r="E706" s="49"/>
    </row>
    <row r="707">
      <c r="A707" s="48"/>
      <c r="E707" s="49"/>
    </row>
    <row r="708">
      <c r="A708" s="48"/>
      <c r="E708" s="49"/>
    </row>
    <row r="709">
      <c r="A709" s="48"/>
      <c r="E709" s="49"/>
    </row>
    <row r="710">
      <c r="A710" s="48"/>
      <c r="E710" s="49"/>
    </row>
    <row r="711">
      <c r="A711" s="48"/>
      <c r="E711" s="49"/>
    </row>
    <row r="712">
      <c r="A712" s="48"/>
      <c r="E712" s="49"/>
    </row>
    <row r="713">
      <c r="A713" s="48"/>
      <c r="E713" s="49"/>
    </row>
    <row r="714">
      <c r="A714" s="48"/>
      <c r="E714" s="49"/>
    </row>
    <row r="715">
      <c r="A715" s="48"/>
      <c r="E715" s="49"/>
    </row>
    <row r="716">
      <c r="A716" s="48"/>
      <c r="E716" s="49"/>
    </row>
    <row r="717">
      <c r="A717" s="48"/>
      <c r="E717" s="49"/>
    </row>
    <row r="718">
      <c r="A718" s="48"/>
      <c r="E718" s="49"/>
    </row>
    <row r="719">
      <c r="A719" s="48"/>
      <c r="E719" s="49"/>
    </row>
    <row r="720">
      <c r="A720" s="48"/>
      <c r="E720" s="49"/>
    </row>
    <row r="721">
      <c r="A721" s="48"/>
      <c r="E721" s="49"/>
    </row>
    <row r="722">
      <c r="A722" s="48"/>
      <c r="E722" s="49"/>
    </row>
    <row r="723">
      <c r="A723" s="48"/>
      <c r="E723" s="49"/>
    </row>
    <row r="724">
      <c r="A724" s="48"/>
      <c r="E724" s="49"/>
    </row>
    <row r="725">
      <c r="A725" s="48"/>
      <c r="E725" s="49"/>
    </row>
    <row r="726">
      <c r="A726" s="48"/>
      <c r="E726" s="49"/>
    </row>
    <row r="727">
      <c r="A727" s="48"/>
      <c r="E727" s="49"/>
    </row>
    <row r="728">
      <c r="A728" s="48"/>
      <c r="E728" s="49"/>
    </row>
    <row r="729">
      <c r="A729" s="48"/>
      <c r="E729" s="49"/>
    </row>
    <row r="730">
      <c r="A730" s="48"/>
      <c r="E730" s="49"/>
    </row>
    <row r="731">
      <c r="A731" s="48"/>
      <c r="E731" s="49"/>
    </row>
    <row r="732">
      <c r="A732" s="48"/>
      <c r="E732" s="49"/>
    </row>
    <row r="733">
      <c r="A733" s="48"/>
      <c r="E733" s="49"/>
    </row>
    <row r="734">
      <c r="A734" s="48"/>
      <c r="E734" s="49"/>
    </row>
    <row r="735">
      <c r="A735" s="48"/>
      <c r="E735" s="49"/>
    </row>
    <row r="736">
      <c r="A736" s="48"/>
      <c r="E736" s="49"/>
    </row>
    <row r="737">
      <c r="A737" s="48"/>
      <c r="E737" s="49"/>
    </row>
    <row r="738">
      <c r="A738" s="48"/>
      <c r="E738" s="49"/>
    </row>
    <row r="739">
      <c r="A739" s="48"/>
      <c r="E739" s="49"/>
    </row>
    <row r="740">
      <c r="A740" s="48"/>
      <c r="E740" s="49"/>
    </row>
    <row r="741">
      <c r="A741" s="48"/>
      <c r="E741" s="49"/>
    </row>
    <row r="742">
      <c r="A742" s="48"/>
      <c r="E742" s="49"/>
    </row>
    <row r="743">
      <c r="A743" s="48"/>
      <c r="E743" s="49"/>
    </row>
    <row r="744">
      <c r="A744" s="48"/>
      <c r="E744" s="49"/>
    </row>
    <row r="745">
      <c r="A745" s="48"/>
      <c r="E745" s="49"/>
    </row>
    <row r="746">
      <c r="A746" s="48"/>
      <c r="E746" s="49"/>
    </row>
    <row r="747">
      <c r="A747" s="48"/>
      <c r="E747" s="49"/>
    </row>
    <row r="748">
      <c r="A748" s="48"/>
      <c r="E748" s="49"/>
    </row>
    <row r="749">
      <c r="A749" s="48"/>
      <c r="E749" s="49"/>
    </row>
    <row r="750">
      <c r="A750" s="48"/>
      <c r="E750" s="49"/>
    </row>
    <row r="751">
      <c r="A751" s="48"/>
      <c r="E751" s="49"/>
    </row>
    <row r="752">
      <c r="A752" s="48"/>
      <c r="E752" s="49"/>
    </row>
    <row r="753">
      <c r="A753" s="48"/>
      <c r="E753" s="49"/>
    </row>
    <row r="754">
      <c r="A754" s="48"/>
      <c r="E754" s="49"/>
    </row>
    <row r="755">
      <c r="A755" s="48"/>
      <c r="E755" s="49"/>
    </row>
    <row r="756">
      <c r="A756" s="48"/>
      <c r="E756" s="49"/>
    </row>
    <row r="757">
      <c r="A757" s="48"/>
      <c r="E757" s="49"/>
    </row>
    <row r="758">
      <c r="A758" s="48"/>
      <c r="E758" s="49"/>
    </row>
    <row r="759">
      <c r="A759" s="48"/>
      <c r="E759" s="49"/>
    </row>
    <row r="760">
      <c r="A760" s="48"/>
      <c r="E760" s="49"/>
    </row>
    <row r="761">
      <c r="A761" s="48"/>
      <c r="E761" s="49"/>
    </row>
    <row r="762">
      <c r="A762" s="48"/>
      <c r="E762" s="49"/>
    </row>
    <row r="763">
      <c r="A763" s="48"/>
      <c r="E763" s="49"/>
    </row>
    <row r="764">
      <c r="A764" s="48"/>
      <c r="E764" s="49"/>
    </row>
    <row r="765">
      <c r="A765" s="48"/>
      <c r="E765" s="49"/>
    </row>
    <row r="766">
      <c r="A766" s="48"/>
      <c r="E766" s="49"/>
    </row>
    <row r="767">
      <c r="A767" s="48"/>
      <c r="E767" s="49"/>
    </row>
    <row r="768">
      <c r="A768" s="48"/>
      <c r="E768" s="49"/>
    </row>
    <row r="769">
      <c r="A769" s="48"/>
      <c r="E769" s="49"/>
    </row>
    <row r="770">
      <c r="A770" s="48"/>
      <c r="E770" s="49"/>
    </row>
    <row r="771">
      <c r="A771" s="48"/>
      <c r="E771" s="49"/>
    </row>
    <row r="772">
      <c r="A772" s="48"/>
      <c r="E772" s="49"/>
    </row>
    <row r="773">
      <c r="A773" s="48"/>
      <c r="E773" s="49"/>
    </row>
    <row r="774">
      <c r="A774" s="48"/>
      <c r="E774" s="49"/>
    </row>
    <row r="775">
      <c r="A775" s="48"/>
      <c r="E775" s="49"/>
    </row>
    <row r="776">
      <c r="A776" s="48"/>
      <c r="E776" s="49"/>
    </row>
    <row r="777">
      <c r="A777" s="48"/>
      <c r="E777" s="49"/>
    </row>
    <row r="778">
      <c r="A778" s="48"/>
      <c r="E778" s="49"/>
    </row>
    <row r="779">
      <c r="A779" s="48"/>
      <c r="E779" s="49"/>
    </row>
    <row r="780">
      <c r="A780" s="48"/>
      <c r="E780" s="49"/>
    </row>
    <row r="781">
      <c r="A781" s="48"/>
      <c r="E781" s="49"/>
    </row>
    <row r="782">
      <c r="A782" s="48"/>
      <c r="E782" s="49"/>
    </row>
    <row r="783">
      <c r="A783" s="48"/>
      <c r="E783" s="49"/>
    </row>
    <row r="784">
      <c r="A784" s="48"/>
      <c r="E784" s="49"/>
    </row>
    <row r="785">
      <c r="A785" s="48"/>
      <c r="E785" s="49"/>
    </row>
    <row r="786">
      <c r="A786" s="48"/>
      <c r="E786" s="49"/>
    </row>
    <row r="787">
      <c r="A787" s="48"/>
      <c r="E787" s="49"/>
    </row>
    <row r="788">
      <c r="A788" s="48"/>
      <c r="E788" s="49"/>
    </row>
    <row r="789">
      <c r="A789" s="48"/>
      <c r="E789" s="49"/>
    </row>
    <row r="790">
      <c r="A790" s="48"/>
      <c r="E790" s="49"/>
    </row>
    <row r="791">
      <c r="A791" s="48"/>
      <c r="E791" s="49"/>
    </row>
    <row r="792">
      <c r="A792" s="48"/>
      <c r="E792" s="49"/>
    </row>
    <row r="793">
      <c r="A793" s="48"/>
      <c r="E793" s="49"/>
    </row>
    <row r="794">
      <c r="A794" s="48"/>
      <c r="E794" s="49"/>
    </row>
    <row r="795">
      <c r="A795" s="48"/>
      <c r="E795" s="49"/>
    </row>
    <row r="796">
      <c r="A796" s="48"/>
      <c r="E796" s="49"/>
    </row>
    <row r="797">
      <c r="A797" s="48"/>
      <c r="E797" s="49"/>
    </row>
    <row r="798">
      <c r="A798" s="48"/>
      <c r="E798" s="49"/>
    </row>
    <row r="799">
      <c r="A799" s="48"/>
      <c r="E799" s="49"/>
    </row>
    <row r="800">
      <c r="A800" s="48"/>
      <c r="E800" s="49"/>
    </row>
    <row r="801">
      <c r="A801" s="48"/>
      <c r="E801" s="49"/>
    </row>
    <row r="802">
      <c r="A802" s="48"/>
      <c r="E802" s="49"/>
    </row>
    <row r="803">
      <c r="A803" s="48"/>
      <c r="E803" s="49"/>
    </row>
    <row r="804">
      <c r="A804" s="48"/>
      <c r="E804" s="49"/>
    </row>
    <row r="805">
      <c r="A805" s="48"/>
      <c r="E805" s="49"/>
    </row>
    <row r="806">
      <c r="A806" s="48"/>
      <c r="E806" s="49"/>
    </row>
    <row r="807">
      <c r="A807" s="48"/>
      <c r="E807" s="49"/>
    </row>
    <row r="808">
      <c r="A808" s="48"/>
      <c r="E808" s="49"/>
    </row>
    <row r="809">
      <c r="A809" s="48"/>
      <c r="E809" s="49"/>
    </row>
    <row r="810">
      <c r="A810" s="48"/>
      <c r="E810" s="49"/>
    </row>
    <row r="811">
      <c r="A811" s="48"/>
      <c r="E811" s="49"/>
    </row>
    <row r="812">
      <c r="A812" s="48"/>
      <c r="E812" s="49"/>
    </row>
    <row r="813">
      <c r="A813" s="48"/>
      <c r="E813" s="49"/>
    </row>
    <row r="814">
      <c r="A814" s="48"/>
      <c r="E814" s="49"/>
    </row>
    <row r="815">
      <c r="A815" s="48"/>
      <c r="E815" s="49"/>
    </row>
    <row r="816">
      <c r="A816" s="48"/>
      <c r="E816" s="49"/>
    </row>
    <row r="817">
      <c r="A817" s="48"/>
      <c r="E817" s="49"/>
    </row>
    <row r="818">
      <c r="A818" s="48"/>
      <c r="E818" s="49"/>
    </row>
    <row r="819">
      <c r="A819" s="48"/>
      <c r="E819" s="49"/>
    </row>
    <row r="820">
      <c r="A820" s="48"/>
      <c r="E820" s="49"/>
    </row>
    <row r="821">
      <c r="A821" s="48"/>
      <c r="E821" s="49"/>
    </row>
    <row r="822">
      <c r="A822" s="48"/>
      <c r="E822" s="49"/>
    </row>
    <row r="823">
      <c r="A823" s="48"/>
      <c r="E823" s="49"/>
    </row>
    <row r="824">
      <c r="A824" s="48"/>
      <c r="E824" s="49"/>
    </row>
    <row r="825">
      <c r="A825" s="48"/>
      <c r="E825" s="49"/>
    </row>
    <row r="826">
      <c r="A826" s="48"/>
      <c r="E826" s="49"/>
    </row>
    <row r="827">
      <c r="A827" s="48"/>
      <c r="E827" s="49"/>
    </row>
    <row r="828">
      <c r="A828" s="48"/>
      <c r="E828" s="49"/>
    </row>
    <row r="829">
      <c r="A829" s="48"/>
      <c r="E829" s="49"/>
    </row>
    <row r="830">
      <c r="A830" s="48"/>
      <c r="E830" s="49"/>
    </row>
    <row r="831">
      <c r="A831" s="48"/>
      <c r="E831" s="49"/>
    </row>
    <row r="832">
      <c r="A832" s="48"/>
      <c r="E832" s="49"/>
    </row>
    <row r="833">
      <c r="A833" s="48"/>
      <c r="E833" s="49"/>
    </row>
    <row r="834">
      <c r="A834" s="48"/>
      <c r="E834" s="49"/>
    </row>
    <row r="835">
      <c r="A835" s="48"/>
      <c r="E835" s="49"/>
    </row>
    <row r="836">
      <c r="A836" s="48"/>
      <c r="E836" s="49"/>
    </row>
    <row r="837">
      <c r="A837" s="48"/>
      <c r="E837" s="49"/>
    </row>
    <row r="838">
      <c r="A838" s="48"/>
      <c r="E838" s="49"/>
    </row>
    <row r="839">
      <c r="A839" s="48"/>
      <c r="E839" s="49"/>
    </row>
    <row r="840">
      <c r="A840" s="48"/>
      <c r="E840" s="49"/>
    </row>
    <row r="841">
      <c r="A841" s="48"/>
      <c r="E841" s="49"/>
    </row>
    <row r="842">
      <c r="A842" s="48"/>
      <c r="E842" s="49"/>
    </row>
    <row r="843">
      <c r="A843" s="48"/>
      <c r="E843" s="49"/>
    </row>
    <row r="844">
      <c r="A844" s="48"/>
      <c r="E844" s="49"/>
    </row>
    <row r="845">
      <c r="A845" s="48"/>
      <c r="E845" s="49"/>
    </row>
    <row r="846">
      <c r="A846" s="48"/>
      <c r="E846" s="49"/>
    </row>
    <row r="847">
      <c r="A847" s="48"/>
      <c r="E847" s="49"/>
    </row>
    <row r="848">
      <c r="A848" s="48"/>
      <c r="E848" s="49"/>
    </row>
    <row r="849">
      <c r="A849" s="48"/>
      <c r="E849" s="49"/>
    </row>
    <row r="850">
      <c r="A850" s="48"/>
      <c r="E850" s="49"/>
    </row>
    <row r="851">
      <c r="A851" s="48"/>
      <c r="E851" s="49"/>
    </row>
    <row r="852">
      <c r="A852" s="48"/>
      <c r="E852" s="49"/>
    </row>
    <row r="853">
      <c r="A853" s="48"/>
      <c r="E853" s="49"/>
    </row>
    <row r="854">
      <c r="A854" s="48"/>
      <c r="E854" s="49"/>
    </row>
    <row r="855">
      <c r="A855" s="48"/>
      <c r="E855" s="49"/>
    </row>
    <row r="856">
      <c r="A856" s="48"/>
      <c r="E856" s="49"/>
    </row>
    <row r="857">
      <c r="A857" s="48"/>
      <c r="E857" s="49"/>
    </row>
    <row r="858">
      <c r="A858" s="48"/>
      <c r="E858" s="49"/>
    </row>
    <row r="859">
      <c r="A859" s="48"/>
      <c r="E859" s="49"/>
    </row>
    <row r="860">
      <c r="A860" s="48"/>
      <c r="E860" s="49"/>
    </row>
    <row r="861">
      <c r="A861" s="48"/>
      <c r="E861" s="49"/>
    </row>
    <row r="862">
      <c r="A862" s="48"/>
      <c r="E862" s="49"/>
    </row>
    <row r="863">
      <c r="A863" s="48"/>
      <c r="E863" s="49"/>
    </row>
    <row r="864">
      <c r="A864" s="48"/>
      <c r="E864" s="49"/>
    </row>
    <row r="865">
      <c r="A865" s="48"/>
      <c r="E865" s="49"/>
    </row>
    <row r="866">
      <c r="A866" s="48"/>
      <c r="E866" s="49"/>
    </row>
    <row r="867">
      <c r="A867" s="48"/>
      <c r="E867" s="49"/>
    </row>
    <row r="868">
      <c r="A868" s="48"/>
      <c r="E868" s="49"/>
    </row>
    <row r="869">
      <c r="A869" s="48"/>
      <c r="E869" s="49"/>
    </row>
    <row r="870">
      <c r="A870" s="48"/>
      <c r="E870" s="49"/>
    </row>
    <row r="871">
      <c r="A871" s="48"/>
      <c r="E871" s="49"/>
    </row>
    <row r="872">
      <c r="A872" s="48"/>
      <c r="E872" s="49"/>
    </row>
    <row r="873">
      <c r="A873" s="48"/>
      <c r="E873" s="49"/>
    </row>
    <row r="874">
      <c r="A874" s="48"/>
      <c r="E874" s="49"/>
    </row>
    <row r="875">
      <c r="A875" s="48"/>
      <c r="E875" s="49"/>
    </row>
    <row r="876">
      <c r="A876" s="48"/>
      <c r="E876" s="49"/>
    </row>
    <row r="877">
      <c r="A877" s="48"/>
      <c r="E877" s="49"/>
    </row>
    <row r="878">
      <c r="A878" s="48"/>
      <c r="E878" s="49"/>
    </row>
    <row r="879">
      <c r="A879" s="48"/>
      <c r="E879" s="49"/>
    </row>
    <row r="880">
      <c r="A880" s="48"/>
      <c r="E880" s="49"/>
    </row>
    <row r="881">
      <c r="A881" s="48"/>
      <c r="E881" s="49"/>
    </row>
    <row r="882">
      <c r="A882" s="48"/>
      <c r="E882" s="49"/>
    </row>
    <row r="883">
      <c r="A883" s="48"/>
      <c r="E883" s="49"/>
    </row>
    <row r="884">
      <c r="A884" s="48"/>
      <c r="E884" s="49"/>
    </row>
    <row r="885">
      <c r="A885" s="48"/>
      <c r="E885" s="49"/>
    </row>
    <row r="886">
      <c r="A886" s="48"/>
      <c r="E886" s="49"/>
    </row>
    <row r="887">
      <c r="A887" s="48"/>
      <c r="E887" s="49"/>
    </row>
    <row r="888">
      <c r="A888" s="48"/>
      <c r="E888" s="49"/>
    </row>
    <row r="889">
      <c r="A889" s="48"/>
      <c r="E889" s="49"/>
    </row>
    <row r="890">
      <c r="A890" s="48"/>
      <c r="E890" s="49"/>
    </row>
    <row r="891">
      <c r="A891" s="48"/>
      <c r="E891" s="49"/>
    </row>
    <row r="892">
      <c r="A892" s="48"/>
      <c r="E892" s="49"/>
    </row>
    <row r="893">
      <c r="A893" s="48"/>
      <c r="E893" s="49"/>
    </row>
    <row r="894">
      <c r="A894" s="48"/>
      <c r="E894" s="49"/>
    </row>
    <row r="895">
      <c r="A895" s="48"/>
      <c r="E895" s="49"/>
    </row>
    <row r="896">
      <c r="A896" s="48"/>
      <c r="E896" s="49"/>
    </row>
    <row r="897">
      <c r="A897" s="48"/>
      <c r="E897" s="49"/>
    </row>
    <row r="898">
      <c r="A898" s="48"/>
      <c r="E898" s="49"/>
    </row>
    <row r="899">
      <c r="A899" s="48"/>
      <c r="E899" s="49"/>
    </row>
    <row r="900">
      <c r="A900" s="48"/>
      <c r="E900" s="49"/>
    </row>
    <row r="901">
      <c r="A901" s="48"/>
      <c r="E901" s="49"/>
    </row>
    <row r="902">
      <c r="A902" s="48"/>
      <c r="E902" s="49"/>
    </row>
    <row r="903">
      <c r="A903" s="48"/>
      <c r="E903" s="49"/>
    </row>
    <row r="904">
      <c r="A904" s="48"/>
      <c r="E904" s="49"/>
    </row>
    <row r="905">
      <c r="A905" s="48"/>
      <c r="E905" s="49"/>
    </row>
    <row r="906">
      <c r="A906" s="48"/>
      <c r="E906" s="49"/>
    </row>
    <row r="907">
      <c r="A907" s="48"/>
      <c r="E907" s="49"/>
    </row>
    <row r="908">
      <c r="A908" s="48"/>
      <c r="E908" s="49"/>
    </row>
    <row r="909">
      <c r="A909" s="48"/>
      <c r="E909" s="49"/>
    </row>
    <row r="910">
      <c r="A910" s="48"/>
      <c r="E910" s="49"/>
    </row>
    <row r="911">
      <c r="A911" s="48"/>
      <c r="E911" s="49"/>
    </row>
    <row r="912">
      <c r="A912" s="48"/>
      <c r="E912" s="49"/>
    </row>
    <row r="913">
      <c r="A913" s="48"/>
      <c r="E913" s="49"/>
    </row>
    <row r="914">
      <c r="A914" s="48"/>
      <c r="E914" s="49"/>
    </row>
    <row r="915">
      <c r="A915" s="48"/>
      <c r="E915" s="49"/>
    </row>
    <row r="916">
      <c r="A916" s="48"/>
      <c r="E916" s="49"/>
    </row>
    <row r="917">
      <c r="A917" s="48"/>
      <c r="E917" s="49"/>
    </row>
    <row r="918">
      <c r="A918" s="48"/>
      <c r="E918" s="49"/>
    </row>
    <row r="919">
      <c r="A919" s="48"/>
      <c r="E919" s="49"/>
    </row>
    <row r="920">
      <c r="A920" s="48"/>
      <c r="E920" s="49"/>
    </row>
    <row r="921">
      <c r="A921" s="48"/>
      <c r="E921" s="49"/>
    </row>
    <row r="922">
      <c r="A922" s="48"/>
      <c r="E922" s="49"/>
    </row>
    <row r="923">
      <c r="A923" s="48"/>
      <c r="E923" s="49"/>
    </row>
    <row r="924">
      <c r="A924" s="48"/>
      <c r="E924" s="49"/>
    </row>
    <row r="925">
      <c r="A925" s="48"/>
      <c r="E925" s="49"/>
    </row>
    <row r="926">
      <c r="A926" s="48"/>
      <c r="E926" s="49"/>
    </row>
    <row r="927">
      <c r="A927" s="48"/>
      <c r="E927" s="49"/>
    </row>
    <row r="928">
      <c r="A928" s="48"/>
      <c r="E928" s="49"/>
    </row>
    <row r="929">
      <c r="A929" s="48"/>
      <c r="E929" s="49"/>
    </row>
    <row r="930">
      <c r="A930" s="48"/>
      <c r="E930" s="49"/>
    </row>
    <row r="931">
      <c r="A931" s="48"/>
      <c r="E931" s="49"/>
    </row>
    <row r="932">
      <c r="A932" s="48"/>
      <c r="E932" s="49"/>
    </row>
    <row r="933">
      <c r="A933" s="48"/>
      <c r="E933" s="49"/>
    </row>
    <row r="934">
      <c r="A934" s="48"/>
      <c r="E934" s="49"/>
    </row>
    <row r="935">
      <c r="A935" s="48"/>
      <c r="E935" s="49"/>
    </row>
    <row r="936">
      <c r="A936" s="48"/>
      <c r="E936" s="49"/>
    </row>
    <row r="937">
      <c r="A937" s="48"/>
      <c r="E937" s="49"/>
    </row>
    <row r="938">
      <c r="A938" s="48"/>
      <c r="E938" s="49"/>
    </row>
    <row r="939">
      <c r="A939" s="48"/>
      <c r="E939" s="49"/>
    </row>
    <row r="940">
      <c r="A940" s="48"/>
      <c r="E940" s="49"/>
    </row>
    <row r="941">
      <c r="A941" s="48"/>
      <c r="E941" s="49"/>
    </row>
    <row r="942">
      <c r="A942" s="48"/>
      <c r="E942" s="49"/>
    </row>
    <row r="943">
      <c r="A943" s="48"/>
      <c r="E943" s="49"/>
    </row>
    <row r="944">
      <c r="A944" s="48"/>
      <c r="E944" s="49"/>
    </row>
    <row r="945">
      <c r="A945" s="48"/>
      <c r="E945" s="49"/>
    </row>
    <row r="946">
      <c r="A946" s="48"/>
      <c r="E946" s="49"/>
    </row>
    <row r="947">
      <c r="A947" s="48"/>
      <c r="E947" s="49"/>
    </row>
    <row r="948">
      <c r="A948" s="48"/>
      <c r="E948" s="49"/>
    </row>
    <row r="949">
      <c r="A949" s="48"/>
      <c r="E949" s="49"/>
    </row>
    <row r="950">
      <c r="A950" s="48"/>
      <c r="E950" s="49"/>
    </row>
    <row r="951">
      <c r="A951" s="48"/>
      <c r="E951" s="49"/>
    </row>
    <row r="952">
      <c r="A952" s="48"/>
      <c r="E952" s="49"/>
    </row>
    <row r="953">
      <c r="A953" s="48"/>
      <c r="E953" s="49"/>
    </row>
    <row r="954">
      <c r="A954" s="48"/>
      <c r="E954" s="49"/>
    </row>
    <row r="955">
      <c r="A955" s="48"/>
      <c r="E955" s="49"/>
    </row>
    <row r="956">
      <c r="A956" s="48"/>
      <c r="E956" s="49"/>
    </row>
    <row r="957">
      <c r="A957" s="48"/>
      <c r="E957" s="49"/>
    </row>
    <row r="958">
      <c r="A958" s="48"/>
      <c r="E958" s="49"/>
    </row>
    <row r="959">
      <c r="A959" s="48"/>
      <c r="E959" s="49"/>
    </row>
    <row r="960">
      <c r="A960" s="48"/>
      <c r="E960" s="49"/>
    </row>
    <row r="961">
      <c r="A961" s="48"/>
      <c r="E961" s="49"/>
    </row>
    <row r="962">
      <c r="A962" s="48"/>
      <c r="E962" s="49"/>
    </row>
    <row r="963">
      <c r="A963" s="48"/>
      <c r="E963" s="49"/>
    </row>
    <row r="964">
      <c r="A964" s="48"/>
      <c r="E964" s="49"/>
    </row>
    <row r="965">
      <c r="A965" s="48"/>
      <c r="E965" s="49"/>
    </row>
    <row r="966">
      <c r="A966" s="48"/>
      <c r="E966" s="49"/>
    </row>
    <row r="967">
      <c r="A967" s="48"/>
      <c r="E967" s="49"/>
    </row>
    <row r="968">
      <c r="A968" s="48"/>
      <c r="E968" s="49"/>
    </row>
    <row r="969">
      <c r="A969" s="48"/>
      <c r="E969" s="49"/>
    </row>
    <row r="970">
      <c r="A970" s="48"/>
      <c r="E970" s="49"/>
    </row>
    <row r="971">
      <c r="A971" s="48"/>
      <c r="E971" s="49"/>
    </row>
    <row r="972">
      <c r="A972" s="48"/>
      <c r="E972" s="49"/>
    </row>
    <row r="973">
      <c r="A973" s="48"/>
      <c r="E973" s="49"/>
    </row>
    <row r="974">
      <c r="A974" s="48"/>
      <c r="E974" s="49"/>
    </row>
    <row r="975">
      <c r="A975" s="48"/>
      <c r="E975" s="49"/>
    </row>
    <row r="976">
      <c r="A976" s="48"/>
      <c r="E976" s="49"/>
    </row>
    <row r="977">
      <c r="A977" s="48"/>
      <c r="E977" s="49"/>
    </row>
    <row r="978">
      <c r="A978" s="48"/>
      <c r="E978" s="49"/>
    </row>
    <row r="979">
      <c r="A979" s="48"/>
      <c r="E979" s="49"/>
    </row>
    <row r="980">
      <c r="A980" s="48"/>
      <c r="E980" s="49"/>
    </row>
    <row r="981">
      <c r="A981" s="48"/>
      <c r="E981" s="49"/>
    </row>
    <row r="982">
      <c r="A982" s="48"/>
      <c r="E982" s="49"/>
    </row>
    <row r="983">
      <c r="A983" s="48"/>
      <c r="E983" s="49"/>
    </row>
    <row r="984">
      <c r="A984" s="48"/>
      <c r="E984" s="49"/>
    </row>
    <row r="985">
      <c r="A985" s="48"/>
      <c r="E985" s="49"/>
    </row>
    <row r="986">
      <c r="A986" s="48"/>
      <c r="E986" s="49"/>
    </row>
    <row r="987">
      <c r="A987" s="48"/>
      <c r="E987" s="49"/>
    </row>
    <row r="988">
      <c r="A988" s="48"/>
      <c r="E988" s="49"/>
    </row>
    <row r="989">
      <c r="A989" s="48"/>
      <c r="E989" s="49"/>
    </row>
    <row r="990">
      <c r="A990" s="48"/>
      <c r="E990" s="49"/>
    </row>
    <row r="991">
      <c r="A991" s="48"/>
      <c r="E991" s="49"/>
    </row>
    <row r="992">
      <c r="A992" s="48"/>
      <c r="E992" s="49"/>
    </row>
    <row r="993">
      <c r="A993" s="48"/>
      <c r="E993" s="49"/>
    </row>
    <row r="994">
      <c r="A994" s="48"/>
      <c r="E994" s="49"/>
    </row>
    <row r="995">
      <c r="A995" s="48"/>
      <c r="E995" s="49"/>
    </row>
    <row r="996">
      <c r="A996" s="48"/>
      <c r="E996" s="49"/>
    </row>
    <row r="997">
      <c r="A997" s="48"/>
      <c r="E997" s="49"/>
    </row>
    <row r="998">
      <c r="A998" s="48"/>
      <c r="E998" s="49"/>
    </row>
    <row r="999">
      <c r="A999" s="48"/>
      <c r="E999" s="49"/>
    </row>
    <row r="1000">
      <c r="A1000" s="48"/>
      <c r="E1000" s="4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2.75"/>
    <col customWidth="1" min="3" max="3" width="5.0"/>
    <col customWidth="1" min="4" max="4" width="32.25"/>
    <col customWidth="1" min="5" max="5" width="12.63"/>
    <col customWidth="1" min="6" max="6" width="10.88"/>
    <col customWidth="1" min="7" max="7" width="12.63"/>
    <col customWidth="1" min="8" max="8" width="10.63"/>
    <col customWidth="1" min="9" max="9" width="15.25"/>
    <col customWidth="1" min="10" max="10" width="17.38"/>
  </cols>
  <sheetData>
    <row r="1">
      <c r="A1" s="50"/>
      <c r="B1" s="51" t="s">
        <v>0</v>
      </c>
      <c r="C1" s="52"/>
      <c r="D1" s="52" t="s">
        <v>1</v>
      </c>
      <c r="E1" s="53" t="s">
        <v>201</v>
      </c>
      <c r="F1" s="54" t="s">
        <v>202</v>
      </c>
      <c r="G1" s="55" t="s">
        <v>203</v>
      </c>
      <c r="H1" s="54" t="s">
        <v>204</v>
      </c>
      <c r="I1" s="54" t="s">
        <v>205</v>
      </c>
      <c r="J1" s="54" t="s">
        <v>13</v>
      </c>
      <c r="K1" s="52"/>
      <c r="L1" s="52"/>
      <c r="M1" s="52"/>
      <c r="N1" s="52"/>
      <c r="O1" s="52"/>
      <c r="P1" s="52"/>
      <c r="Q1" s="52"/>
      <c r="R1" s="52"/>
      <c r="S1" s="52"/>
      <c r="T1" s="52"/>
      <c r="U1" s="52"/>
      <c r="V1" s="52"/>
    </row>
    <row r="2">
      <c r="A2" s="56" t="s">
        <v>206</v>
      </c>
      <c r="B2" s="5" t="s">
        <v>14</v>
      </c>
      <c r="C2" s="57">
        <v>1.0</v>
      </c>
      <c r="D2" s="57" t="s">
        <v>15</v>
      </c>
      <c r="E2" s="58">
        <v>15000.0</v>
      </c>
      <c r="F2" s="59">
        <v>2008.0</v>
      </c>
      <c r="G2" s="7"/>
      <c r="H2" s="7"/>
      <c r="I2" s="7"/>
      <c r="J2" s="7"/>
      <c r="K2" s="7"/>
      <c r="L2" s="7"/>
      <c r="M2" s="7"/>
      <c r="N2" s="7"/>
      <c r="O2" s="7"/>
      <c r="P2" s="7"/>
      <c r="Q2" s="7"/>
      <c r="R2" s="7"/>
      <c r="S2" s="7"/>
      <c r="T2" s="7"/>
      <c r="U2" s="7"/>
      <c r="V2" s="7"/>
    </row>
    <row r="3">
      <c r="A3" s="56" t="s">
        <v>206</v>
      </c>
      <c r="B3" s="5" t="s">
        <v>23</v>
      </c>
      <c r="C3" s="57">
        <v>1.0</v>
      </c>
      <c r="D3" s="27" t="s">
        <v>24</v>
      </c>
      <c r="E3" s="60">
        <v>14000.0</v>
      </c>
      <c r="F3" s="61">
        <v>2005.0</v>
      </c>
      <c r="G3" s="7"/>
      <c r="H3" s="7"/>
      <c r="I3" s="7"/>
      <c r="J3" s="7"/>
      <c r="K3" s="7"/>
      <c r="L3" s="7"/>
      <c r="M3" s="7"/>
      <c r="N3" s="7"/>
      <c r="O3" s="7"/>
      <c r="P3" s="7"/>
      <c r="Q3" s="7"/>
      <c r="R3" s="7"/>
      <c r="S3" s="7"/>
      <c r="T3" s="7"/>
      <c r="U3" s="7"/>
      <c r="V3" s="7"/>
    </row>
    <row r="4">
      <c r="A4" s="20" t="s">
        <v>206</v>
      </c>
      <c r="B4" s="14" t="s">
        <v>27</v>
      </c>
      <c r="C4" s="62">
        <v>1.0</v>
      </c>
      <c r="D4" s="63" t="s">
        <v>28</v>
      </c>
      <c r="E4" s="60">
        <v>7500.0</v>
      </c>
      <c r="F4" s="61">
        <v>2009.0</v>
      </c>
      <c r="G4" s="7"/>
      <c r="H4" s="7"/>
      <c r="I4" s="6" t="s">
        <v>18</v>
      </c>
      <c r="J4" s="7"/>
      <c r="K4" s="7"/>
      <c r="L4" s="7"/>
      <c r="M4" s="7"/>
      <c r="N4" s="7"/>
      <c r="O4" s="7"/>
      <c r="P4" s="7"/>
      <c r="Q4" s="7"/>
      <c r="R4" s="7"/>
      <c r="S4" s="7"/>
      <c r="T4" s="7"/>
      <c r="U4" s="7"/>
      <c r="V4" s="7"/>
    </row>
    <row r="5">
      <c r="A5" s="20" t="s">
        <v>206</v>
      </c>
      <c r="B5" s="14" t="s">
        <v>27</v>
      </c>
      <c r="C5" s="62">
        <v>1.0</v>
      </c>
      <c r="D5" s="63" t="s">
        <v>32</v>
      </c>
      <c r="E5" s="60">
        <v>5000.0</v>
      </c>
      <c r="F5" s="6">
        <v>2009.0</v>
      </c>
      <c r="G5" s="7"/>
      <c r="H5" s="7"/>
      <c r="I5" s="7"/>
      <c r="J5" s="7"/>
      <c r="K5" s="7"/>
      <c r="L5" s="7"/>
      <c r="M5" s="7"/>
      <c r="N5" s="7"/>
      <c r="O5" s="7"/>
      <c r="P5" s="7"/>
      <c r="Q5" s="7"/>
      <c r="R5" s="7"/>
      <c r="S5" s="7"/>
      <c r="T5" s="7"/>
      <c r="U5" s="7"/>
      <c r="V5" s="7"/>
    </row>
    <row r="6">
      <c r="A6" s="20" t="s">
        <v>206</v>
      </c>
      <c r="B6" s="14" t="s">
        <v>35</v>
      </c>
      <c r="C6" s="62">
        <v>1.0</v>
      </c>
      <c r="D6" s="63" t="s">
        <v>36</v>
      </c>
      <c r="E6" s="60">
        <v>200000.0</v>
      </c>
      <c r="F6" s="61">
        <v>2016.0</v>
      </c>
      <c r="G6" s="7"/>
      <c r="H6" s="7"/>
      <c r="I6" s="7"/>
      <c r="J6" s="7"/>
      <c r="K6" s="7"/>
      <c r="L6" s="7"/>
      <c r="M6" s="7"/>
      <c r="N6" s="7"/>
      <c r="O6" s="7"/>
      <c r="P6" s="7"/>
      <c r="Q6" s="7"/>
      <c r="R6" s="7"/>
      <c r="S6" s="7"/>
      <c r="T6" s="7"/>
      <c r="U6" s="7"/>
      <c r="V6" s="7"/>
    </row>
    <row r="7">
      <c r="A7" s="56" t="s">
        <v>206</v>
      </c>
      <c r="B7" s="5" t="s">
        <v>41</v>
      </c>
      <c r="C7" s="57"/>
      <c r="D7" s="27" t="s">
        <v>42</v>
      </c>
      <c r="E7" s="64">
        <v>0.0</v>
      </c>
      <c r="F7" s="59">
        <v>2011.0</v>
      </c>
      <c r="G7" s="7"/>
      <c r="H7" s="7"/>
      <c r="I7" s="7"/>
      <c r="J7" s="7"/>
      <c r="K7" s="7"/>
      <c r="L7" s="7"/>
      <c r="M7" s="7"/>
      <c r="N7" s="7"/>
      <c r="O7" s="7"/>
      <c r="P7" s="7"/>
      <c r="Q7" s="7"/>
      <c r="R7" s="7"/>
      <c r="S7" s="7"/>
      <c r="T7" s="7"/>
      <c r="U7" s="7"/>
      <c r="V7" s="7"/>
    </row>
    <row r="8">
      <c r="A8" s="20" t="s">
        <v>206</v>
      </c>
      <c r="B8" s="14" t="s">
        <v>45</v>
      </c>
      <c r="C8" s="62">
        <v>1.0</v>
      </c>
      <c r="D8" s="63" t="s">
        <v>46</v>
      </c>
      <c r="E8" s="60">
        <v>20000.0</v>
      </c>
      <c r="F8" s="61">
        <v>2013.0</v>
      </c>
      <c r="G8" s="7"/>
      <c r="H8" s="7"/>
      <c r="I8" s="7"/>
      <c r="J8" s="7"/>
      <c r="K8" s="7"/>
      <c r="L8" s="7"/>
      <c r="M8" s="7"/>
      <c r="N8" s="7"/>
      <c r="O8" s="7"/>
      <c r="P8" s="7"/>
      <c r="Q8" s="7"/>
      <c r="R8" s="7"/>
      <c r="S8" s="7"/>
      <c r="T8" s="7"/>
      <c r="U8" s="7"/>
      <c r="V8" s="7"/>
    </row>
    <row r="9">
      <c r="A9" s="56" t="s">
        <v>206</v>
      </c>
      <c r="B9" s="5" t="s">
        <v>49</v>
      </c>
      <c r="C9" s="57">
        <v>1.0</v>
      </c>
      <c r="D9" s="27" t="s">
        <v>50</v>
      </c>
      <c r="E9" s="60">
        <v>7500.0</v>
      </c>
      <c r="F9" s="61">
        <v>2010.0</v>
      </c>
      <c r="G9" s="65">
        <v>1500.0</v>
      </c>
      <c r="H9" s="61">
        <v>2010.0</v>
      </c>
      <c r="I9" s="6" t="s">
        <v>18</v>
      </c>
      <c r="J9" s="6" t="s">
        <v>207</v>
      </c>
      <c r="K9" s="7"/>
      <c r="L9" s="7"/>
      <c r="M9" s="7"/>
      <c r="N9" s="7"/>
      <c r="O9" s="7"/>
      <c r="P9" s="7"/>
      <c r="Q9" s="7"/>
      <c r="R9" s="7"/>
      <c r="S9" s="7"/>
      <c r="T9" s="7"/>
      <c r="U9" s="7"/>
      <c r="V9" s="7"/>
    </row>
    <row r="10">
      <c r="A10" s="66" t="s">
        <v>206</v>
      </c>
      <c r="B10" s="5" t="s">
        <v>52</v>
      </c>
      <c r="C10" s="57"/>
      <c r="D10" s="57" t="s">
        <v>53</v>
      </c>
      <c r="E10" s="58">
        <v>0.0</v>
      </c>
      <c r="F10" s="59">
        <v>2016.0</v>
      </c>
      <c r="G10" s="7"/>
      <c r="H10" s="7"/>
      <c r="I10" s="7"/>
      <c r="J10" s="7"/>
      <c r="K10" s="7"/>
      <c r="L10" s="7"/>
      <c r="M10" s="7"/>
      <c r="N10" s="7"/>
      <c r="O10" s="7"/>
      <c r="P10" s="7"/>
      <c r="Q10" s="7"/>
      <c r="R10" s="7"/>
      <c r="S10" s="7"/>
      <c r="T10" s="7"/>
      <c r="U10" s="7"/>
      <c r="V10" s="7"/>
    </row>
    <row r="11">
      <c r="A11" s="56" t="s">
        <v>206</v>
      </c>
      <c r="B11" s="5" t="s">
        <v>55</v>
      </c>
      <c r="C11" s="57">
        <v>1.0</v>
      </c>
      <c r="D11" s="27" t="s">
        <v>56</v>
      </c>
      <c r="E11" s="60">
        <v>20000.0</v>
      </c>
      <c r="F11" s="61">
        <v>2001.0</v>
      </c>
      <c r="G11" s="7"/>
      <c r="H11" s="7"/>
      <c r="I11" s="7"/>
      <c r="J11" s="7"/>
      <c r="K11" s="7"/>
      <c r="L11" s="7"/>
      <c r="M11" s="7"/>
      <c r="N11" s="7"/>
      <c r="O11" s="7"/>
      <c r="P11" s="7"/>
      <c r="Q11" s="7"/>
      <c r="R11" s="7"/>
      <c r="S11" s="7"/>
      <c r="T11" s="7"/>
      <c r="U11" s="7"/>
      <c r="V11" s="7"/>
    </row>
    <row r="12">
      <c r="A12" s="56" t="s">
        <v>206</v>
      </c>
      <c r="B12" s="5" t="s">
        <v>59</v>
      </c>
      <c r="C12" s="57">
        <v>1.0</v>
      </c>
      <c r="D12" s="27" t="s">
        <v>60</v>
      </c>
      <c r="E12" s="60">
        <v>10000.0</v>
      </c>
      <c r="F12" s="61">
        <v>2013.0</v>
      </c>
      <c r="G12" s="7"/>
      <c r="H12" s="7"/>
      <c r="I12" s="7"/>
      <c r="J12" s="7"/>
      <c r="K12" s="7"/>
      <c r="L12" s="7"/>
      <c r="M12" s="7"/>
      <c r="N12" s="7"/>
      <c r="O12" s="7"/>
      <c r="P12" s="7"/>
      <c r="Q12" s="7"/>
      <c r="R12" s="7"/>
      <c r="S12" s="7"/>
      <c r="T12" s="7"/>
      <c r="U12" s="7"/>
      <c r="V12" s="7"/>
    </row>
    <row r="13">
      <c r="A13" s="56" t="s">
        <v>206</v>
      </c>
      <c r="B13" s="5" t="s">
        <v>62</v>
      </c>
      <c r="C13" s="57">
        <v>1.0</v>
      </c>
      <c r="D13" s="27" t="s">
        <v>63</v>
      </c>
      <c r="E13" s="60">
        <v>25000.0</v>
      </c>
      <c r="F13" s="59">
        <v>2008.0</v>
      </c>
      <c r="G13" s="7"/>
      <c r="H13" s="7"/>
      <c r="I13" s="7"/>
      <c r="J13" s="7"/>
      <c r="K13" s="7"/>
      <c r="L13" s="7"/>
      <c r="M13" s="7"/>
      <c r="N13" s="7"/>
      <c r="O13" s="7"/>
      <c r="P13" s="7"/>
      <c r="Q13" s="7"/>
      <c r="R13" s="7"/>
      <c r="S13" s="7"/>
      <c r="T13" s="7"/>
      <c r="U13" s="7"/>
      <c r="V13" s="7"/>
    </row>
    <row r="14">
      <c r="A14" s="56" t="s">
        <v>206</v>
      </c>
      <c r="B14" s="5" t="s">
        <v>67</v>
      </c>
      <c r="C14" s="57">
        <v>1.0</v>
      </c>
      <c r="D14" s="27" t="s">
        <v>68</v>
      </c>
      <c r="E14" s="58">
        <v>60000.0</v>
      </c>
      <c r="F14" s="59">
        <v>2006.0</v>
      </c>
      <c r="G14" s="67">
        <v>55000.0</v>
      </c>
      <c r="H14" s="61">
        <v>2012.0</v>
      </c>
      <c r="I14" s="6" t="s">
        <v>18</v>
      </c>
      <c r="J14" s="7"/>
      <c r="K14" s="7"/>
      <c r="L14" s="7"/>
      <c r="M14" s="7"/>
      <c r="N14" s="7"/>
      <c r="O14" s="7"/>
      <c r="P14" s="7"/>
      <c r="Q14" s="7"/>
      <c r="R14" s="7"/>
      <c r="S14" s="7"/>
      <c r="T14" s="7"/>
      <c r="U14" s="7"/>
      <c r="V14" s="7"/>
    </row>
    <row r="15">
      <c r="A15" s="66" t="s">
        <v>206</v>
      </c>
      <c r="B15" s="68" t="s">
        <v>71</v>
      </c>
      <c r="C15" s="69"/>
      <c r="D15" s="69" t="s">
        <v>208</v>
      </c>
      <c r="E15" s="64">
        <v>0.0</v>
      </c>
      <c r="F15" s="29">
        <v>2010.0</v>
      </c>
    </row>
    <row r="16">
      <c r="A16" s="56" t="s">
        <v>206</v>
      </c>
      <c r="B16" s="5" t="s">
        <v>75</v>
      </c>
      <c r="C16" s="57">
        <v>1.0</v>
      </c>
      <c r="D16" s="57" t="s">
        <v>76</v>
      </c>
      <c r="E16" s="60">
        <v>15000.0</v>
      </c>
      <c r="F16" s="6">
        <v>2005.0</v>
      </c>
      <c r="G16" s="7"/>
      <c r="H16" s="7"/>
      <c r="I16" s="7"/>
      <c r="J16" s="7"/>
      <c r="K16" s="7"/>
      <c r="L16" s="7"/>
      <c r="M16" s="7"/>
      <c r="N16" s="7"/>
      <c r="O16" s="7"/>
      <c r="P16" s="7"/>
      <c r="Q16" s="7"/>
      <c r="R16" s="7"/>
      <c r="S16" s="7"/>
      <c r="T16" s="7"/>
      <c r="U16" s="7"/>
      <c r="V16" s="7"/>
    </row>
    <row r="17">
      <c r="A17" s="56" t="s">
        <v>206</v>
      </c>
      <c r="B17" s="5" t="s">
        <v>78</v>
      </c>
      <c r="C17" s="57">
        <v>1.0</v>
      </c>
      <c r="D17" s="27" t="s">
        <v>79</v>
      </c>
      <c r="E17" s="58">
        <v>25000.0</v>
      </c>
      <c r="F17" s="6">
        <v>2015.0</v>
      </c>
      <c r="G17" s="65">
        <v>25000.0</v>
      </c>
      <c r="H17" s="6">
        <v>2015.0</v>
      </c>
      <c r="I17" s="6" t="s">
        <v>18</v>
      </c>
      <c r="J17" s="6" t="s">
        <v>209</v>
      </c>
      <c r="K17" s="7"/>
      <c r="L17" s="7"/>
      <c r="M17" s="7"/>
      <c r="N17" s="7"/>
      <c r="O17" s="7"/>
      <c r="P17" s="7"/>
      <c r="Q17" s="7"/>
      <c r="R17" s="7"/>
      <c r="S17" s="7"/>
      <c r="T17" s="7"/>
      <c r="U17" s="7"/>
      <c r="V17" s="7"/>
    </row>
    <row r="18">
      <c r="A18" s="56" t="s">
        <v>206</v>
      </c>
      <c r="B18" s="5" t="s">
        <v>81</v>
      </c>
      <c r="C18" s="57">
        <v>1.0</v>
      </c>
      <c r="D18" s="27" t="s">
        <v>82</v>
      </c>
      <c r="E18" s="60">
        <v>50000.0</v>
      </c>
      <c r="F18" s="6">
        <v>2014.0</v>
      </c>
      <c r="G18" s="7"/>
      <c r="H18" s="7"/>
      <c r="I18" s="7"/>
      <c r="J18" s="7"/>
      <c r="K18" s="7"/>
      <c r="L18" s="7"/>
      <c r="M18" s="7"/>
      <c r="N18" s="7"/>
      <c r="O18" s="7"/>
      <c r="P18" s="7"/>
      <c r="Q18" s="7"/>
      <c r="R18" s="7"/>
      <c r="S18" s="7"/>
      <c r="T18" s="7"/>
      <c r="U18" s="7"/>
      <c r="V18" s="7"/>
    </row>
    <row r="19">
      <c r="A19" s="56" t="s">
        <v>206</v>
      </c>
      <c r="B19" s="5" t="s">
        <v>84</v>
      </c>
      <c r="C19" s="57">
        <v>1.0</v>
      </c>
      <c r="D19" s="27" t="s">
        <v>85</v>
      </c>
      <c r="E19" s="60">
        <v>55000.0</v>
      </c>
      <c r="F19" s="6">
        <v>2013.0</v>
      </c>
      <c r="G19" s="7"/>
      <c r="H19" s="7"/>
      <c r="I19" s="6" t="s">
        <v>18</v>
      </c>
      <c r="J19" s="7"/>
      <c r="K19" s="7"/>
      <c r="L19" s="7"/>
      <c r="M19" s="7"/>
      <c r="N19" s="7"/>
      <c r="O19" s="7"/>
      <c r="P19" s="7"/>
      <c r="Q19" s="7"/>
      <c r="R19" s="7"/>
      <c r="S19" s="7"/>
      <c r="T19" s="7"/>
      <c r="U19" s="7"/>
      <c r="V19" s="7"/>
    </row>
    <row r="20">
      <c r="A20" s="56" t="s">
        <v>206</v>
      </c>
      <c r="B20" s="5" t="s">
        <v>87</v>
      </c>
      <c r="C20" s="57">
        <v>1.0</v>
      </c>
      <c r="D20" s="27" t="s">
        <v>88</v>
      </c>
      <c r="E20" s="60">
        <v>25000.0</v>
      </c>
      <c r="F20" s="6">
        <v>2010.0</v>
      </c>
      <c r="G20" s="7"/>
      <c r="H20" s="7"/>
      <c r="I20" s="7"/>
      <c r="J20" s="7"/>
      <c r="K20" s="7"/>
      <c r="L20" s="7"/>
      <c r="M20" s="7"/>
      <c r="N20" s="7"/>
      <c r="O20" s="7"/>
      <c r="P20" s="7"/>
      <c r="Q20" s="7"/>
      <c r="R20" s="7"/>
      <c r="S20" s="7"/>
      <c r="T20" s="7"/>
      <c r="U20" s="7"/>
      <c r="V20" s="7"/>
    </row>
    <row r="21">
      <c r="A21" s="56" t="s">
        <v>206</v>
      </c>
      <c r="B21" s="5" t="s">
        <v>92</v>
      </c>
      <c r="C21" s="27"/>
      <c r="D21" s="27" t="s">
        <v>93</v>
      </c>
      <c r="E21" s="64">
        <v>0.0</v>
      </c>
      <c r="F21" s="23">
        <v>2008.0</v>
      </c>
      <c r="G21" s="25"/>
      <c r="H21" s="25"/>
      <c r="I21" s="25"/>
      <c r="J21" s="25"/>
      <c r="K21" s="25"/>
      <c r="L21" s="25"/>
      <c r="M21" s="25"/>
      <c r="N21" s="25"/>
      <c r="O21" s="25"/>
      <c r="P21" s="25"/>
      <c r="Q21" s="25"/>
      <c r="R21" s="25"/>
      <c r="S21" s="25"/>
      <c r="T21" s="25"/>
      <c r="U21" s="25"/>
      <c r="V21" s="25"/>
    </row>
    <row r="22">
      <c r="A22" s="56" t="s">
        <v>206</v>
      </c>
      <c r="B22" s="5" t="s">
        <v>95</v>
      </c>
      <c r="C22" s="57">
        <v>1.0</v>
      </c>
      <c r="D22" s="27" t="s">
        <v>96</v>
      </c>
      <c r="E22" s="70">
        <v>75000.0</v>
      </c>
      <c r="F22" s="6">
        <v>2011.0</v>
      </c>
      <c r="G22" s="25"/>
      <c r="H22" s="25"/>
      <c r="I22" s="25"/>
      <c r="J22" s="25"/>
      <c r="K22" s="25"/>
      <c r="L22" s="25"/>
      <c r="M22" s="25"/>
      <c r="N22" s="25"/>
      <c r="O22" s="25"/>
      <c r="P22" s="25"/>
      <c r="Q22" s="25"/>
      <c r="R22" s="25"/>
      <c r="S22" s="25"/>
      <c r="T22" s="25"/>
      <c r="U22" s="25"/>
      <c r="V22" s="25"/>
    </row>
    <row r="23">
      <c r="A23" s="66" t="s">
        <v>206</v>
      </c>
      <c r="B23" s="68" t="s">
        <v>98</v>
      </c>
      <c r="C23" s="69">
        <v>1.0</v>
      </c>
      <c r="D23" s="69" t="s">
        <v>99</v>
      </c>
      <c r="E23" s="70">
        <v>240000.0</v>
      </c>
      <c r="F23" s="23">
        <v>2014.0</v>
      </c>
      <c r="G23" s="25"/>
      <c r="H23" s="25"/>
      <c r="I23" s="25"/>
      <c r="J23" s="25"/>
      <c r="K23" s="25"/>
      <c r="L23" s="25"/>
      <c r="M23" s="25"/>
      <c r="N23" s="25"/>
      <c r="O23" s="25"/>
      <c r="P23" s="25"/>
      <c r="Q23" s="25"/>
      <c r="R23" s="25"/>
      <c r="S23" s="25"/>
      <c r="T23" s="25"/>
      <c r="U23" s="25"/>
      <c r="V23" s="25"/>
    </row>
    <row r="24">
      <c r="A24" s="66" t="s">
        <v>206</v>
      </c>
      <c r="B24" s="68" t="s">
        <v>104</v>
      </c>
      <c r="C24" s="69">
        <v>1.0</v>
      </c>
      <c r="D24" s="69" t="s">
        <v>105</v>
      </c>
      <c r="E24" s="70">
        <v>100000.0</v>
      </c>
      <c r="F24" s="23">
        <v>2011.0</v>
      </c>
      <c r="G24" s="25"/>
      <c r="H24" s="25"/>
      <c r="I24" s="25"/>
      <c r="J24" s="25"/>
      <c r="K24" s="25"/>
      <c r="L24" s="25"/>
      <c r="M24" s="25"/>
      <c r="N24" s="25"/>
      <c r="O24" s="25"/>
      <c r="P24" s="25"/>
      <c r="Q24" s="25"/>
      <c r="R24" s="25"/>
      <c r="S24" s="25"/>
      <c r="T24" s="25"/>
      <c r="U24" s="25"/>
      <c r="V24" s="25"/>
    </row>
    <row r="25">
      <c r="A25" s="66" t="s">
        <v>206</v>
      </c>
      <c r="B25" s="68" t="s">
        <v>108</v>
      </c>
      <c r="C25" s="69">
        <v>1.0</v>
      </c>
      <c r="D25" s="69" t="s">
        <v>109</v>
      </c>
      <c r="E25" s="64">
        <v>125000.0</v>
      </c>
      <c r="F25" s="29">
        <v>2010.0</v>
      </c>
    </row>
    <row r="26">
      <c r="A26" s="66" t="s">
        <v>206</v>
      </c>
      <c r="B26" s="68" t="s">
        <v>111</v>
      </c>
      <c r="C26" s="69">
        <v>1.0</v>
      </c>
      <c r="D26" s="69" t="s">
        <v>112</v>
      </c>
      <c r="E26" s="64">
        <v>1000000.0</v>
      </c>
      <c r="F26" s="29">
        <v>2015.0</v>
      </c>
    </row>
    <row r="27">
      <c r="A27" s="66" t="s">
        <v>206</v>
      </c>
      <c r="B27" s="68" t="s">
        <v>115</v>
      </c>
      <c r="C27" s="69"/>
      <c r="D27" s="69" t="s">
        <v>116</v>
      </c>
      <c r="E27" s="64">
        <v>0.0</v>
      </c>
      <c r="F27" s="29">
        <v>2015.0</v>
      </c>
    </row>
    <row r="28">
      <c r="A28" s="56" t="s">
        <v>206</v>
      </c>
      <c r="B28" s="5" t="s">
        <v>118</v>
      </c>
      <c r="C28" s="57">
        <v>1.0</v>
      </c>
      <c r="D28" s="43" t="s">
        <v>119</v>
      </c>
      <c r="E28" s="64">
        <v>7500.0</v>
      </c>
      <c r="F28" s="29">
        <v>2015.0</v>
      </c>
    </row>
    <row r="29">
      <c r="A29" s="66" t="s">
        <v>206</v>
      </c>
      <c r="B29" s="68" t="s">
        <v>121</v>
      </c>
      <c r="C29" s="69">
        <v>1.0</v>
      </c>
      <c r="D29" s="69" t="s">
        <v>122</v>
      </c>
      <c r="E29" s="64">
        <v>130000.0</v>
      </c>
      <c r="F29" s="29">
        <v>2010.0</v>
      </c>
    </row>
    <row r="30">
      <c r="A30" s="56" t="s">
        <v>206</v>
      </c>
      <c r="B30" s="5" t="s">
        <v>125</v>
      </c>
      <c r="C30" s="57">
        <v>1.0</v>
      </c>
      <c r="D30" s="27" t="s">
        <v>126</v>
      </c>
      <c r="E30" s="64">
        <v>700000.0</v>
      </c>
      <c r="F30" s="29">
        <v>2015.0</v>
      </c>
    </row>
    <row r="31">
      <c r="A31" s="56" t="s">
        <v>206</v>
      </c>
      <c r="B31" s="5" t="s">
        <v>129</v>
      </c>
      <c r="C31" s="57">
        <v>1.0</v>
      </c>
      <c r="D31" s="27" t="s">
        <v>130</v>
      </c>
      <c r="E31" s="71">
        <v>225000.0</v>
      </c>
      <c r="F31" s="72">
        <v>2010.0</v>
      </c>
      <c r="G31" s="73">
        <v>200000.0</v>
      </c>
      <c r="H31" s="29">
        <v>2015.0</v>
      </c>
      <c r="I31" s="29" t="s">
        <v>210</v>
      </c>
    </row>
    <row r="32">
      <c r="A32" s="56" t="s">
        <v>206</v>
      </c>
      <c r="B32" s="5" t="s">
        <v>132</v>
      </c>
      <c r="C32" s="57">
        <v>1.0</v>
      </c>
      <c r="D32" s="27" t="s">
        <v>133</v>
      </c>
      <c r="E32" s="64">
        <v>160000.0</v>
      </c>
      <c r="F32" s="29">
        <v>2016.0</v>
      </c>
    </row>
    <row r="33">
      <c r="A33" s="66" t="s">
        <v>206</v>
      </c>
      <c r="B33" s="68" t="s">
        <v>136</v>
      </c>
      <c r="C33" s="69">
        <v>1.0</v>
      </c>
      <c r="D33" s="69" t="s">
        <v>137</v>
      </c>
      <c r="E33" s="64">
        <v>5000.0</v>
      </c>
      <c r="F33" s="29">
        <v>2009.0</v>
      </c>
      <c r="G33" s="73">
        <v>5000.0</v>
      </c>
      <c r="H33" s="29">
        <v>2013.0</v>
      </c>
    </row>
    <row r="34">
      <c r="A34" s="66" t="s">
        <v>206</v>
      </c>
      <c r="B34" s="68" t="s">
        <v>139</v>
      </c>
      <c r="C34" s="69">
        <v>1.0</v>
      </c>
      <c r="D34" s="69" t="s">
        <v>140</v>
      </c>
      <c r="E34" s="64">
        <v>15000.0</v>
      </c>
      <c r="F34" s="29">
        <v>2016.0</v>
      </c>
    </row>
    <row r="35">
      <c r="A35" s="56" t="s">
        <v>206</v>
      </c>
      <c r="B35" s="5" t="s">
        <v>142</v>
      </c>
      <c r="C35" s="57">
        <v>1.0</v>
      </c>
      <c r="D35" s="57" t="s">
        <v>143</v>
      </c>
      <c r="E35" s="64">
        <v>50000.0</v>
      </c>
      <c r="F35" s="29">
        <v>2006.0</v>
      </c>
    </row>
    <row r="36">
      <c r="A36" s="56" t="s">
        <v>206</v>
      </c>
      <c r="B36" s="5" t="s">
        <v>146</v>
      </c>
      <c r="C36" s="57">
        <v>1.0</v>
      </c>
      <c r="D36" s="43" t="s">
        <v>147</v>
      </c>
      <c r="E36" s="64">
        <v>2000000.0</v>
      </c>
      <c r="F36" s="29">
        <v>2015.0</v>
      </c>
      <c r="I36" s="6" t="s">
        <v>18</v>
      </c>
    </row>
    <row r="37">
      <c r="A37" s="56" t="s">
        <v>206</v>
      </c>
      <c r="B37" s="5" t="s">
        <v>151</v>
      </c>
      <c r="C37" s="57">
        <v>1.0</v>
      </c>
      <c r="D37" s="27" t="s">
        <v>152</v>
      </c>
      <c r="E37" s="64">
        <v>50000.0</v>
      </c>
      <c r="F37" s="29">
        <v>2011.0</v>
      </c>
    </row>
    <row r="38">
      <c r="A38" s="56" t="s">
        <v>206</v>
      </c>
      <c r="B38" s="5" t="s">
        <v>154</v>
      </c>
      <c r="C38" s="57">
        <v>1.0</v>
      </c>
      <c r="D38" s="27" t="s">
        <v>155</v>
      </c>
      <c r="E38" s="64">
        <v>300000.0</v>
      </c>
      <c r="F38" s="29">
        <v>2011.0</v>
      </c>
      <c r="I38" s="29" t="s">
        <v>18</v>
      </c>
    </row>
    <row r="39">
      <c r="A39" s="56" t="s">
        <v>206</v>
      </c>
      <c r="B39" s="5" t="s">
        <v>157</v>
      </c>
      <c r="C39" s="57">
        <v>1.0</v>
      </c>
      <c r="D39" s="27" t="s">
        <v>158</v>
      </c>
      <c r="E39" s="64">
        <v>400000.0</v>
      </c>
      <c r="F39" s="29">
        <v>2012.0</v>
      </c>
    </row>
    <row r="40">
      <c r="A40" s="56" t="s">
        <v>206</v>
      </c>
      <c r="B40" s="5" t="s">
        <v>160</v>
      </c>
      <c r="C40" s="57">
        <v>1.0</v>
      </c>
      <c r="D40" s="27" t="s">
        <v>161</v>
      </c>
      <c r="E40" s="64">
        <v>1500000.0</v>
      </c>
      <c r="F40" s="29">
        <v>2015.0</v>
      </c>
    </row>
    <row r="41">
      <c r="A41" s="56" t="s">
        <v>206</v>
      </c>
      <c r="B41" s="5" t="s">
        <v>163</v>
      </c>
      <c r="C41" s="27"/>
      <c r="D41" s="27" t="s">
        <v>164</v>
      </c>
      <c r="E41" s="64">
        <v>0.0</v>
      </c>
      <c r="F41" s="29">
        <v>2013.0</v>
      </c>
    </row>
    <row r="42">
      <c r="A42" s="66" t="s">
        <v>206</v>
      </c>
      <c r="B42" s="5" t="s">
        <v>167</v>
      </c>
      <c r="C42" s="69">
        <v>1.0</v>
      </c>
      <c r="D42" s="57" t="s">
        <v>168</v>
      </c>
      <c r="E42" s="64">
        <v>155000.0</v>
      </c>
      <c r="F42" s="29">
        <v>2007.0</v>
      </c>
    </row>
    <row r="43">
      <c r="A43" s="66" t="s">
        <v>206</v>
      </c>
      <c r="B43" s="68" t="s">
        <v>171</v>
      </c>
      <c r="C43" s="69"/>
      <c r="D43" s="69" t="s">
        <v>172</v>
      </c>
      <c r="E43" s="64">
        <v>0.0</v>
      </c>
      <c r="F43" s="29">
        <v>2014.0</v>
      </c>
    </row>
    <row r="44">
      <c r="A44" s="66" t="s">
        <v>206</v>
      </c>
      <c r="B44" s="68" t="s">
        <v>174</v>
      </c>
      <c r="C44" s="69">
        <v>1.0</v>
      </c>
      <c r="D44" s="69" t="s">
        <v>175</v>
      </c>
      <c r="E44" s="64">
        <v>40000.0</v>
      </c>
      <c r="F44" s="29">
        <v>2010.0</v>
      </c>
      <c r="G44" s="74"/>
    </row>
    <row r="45">
      <c r="A45" s="66" t="s">
        <v>206</v>
      </c>
      <c r="B45" s="75" t="s">
        <v>178</v>
      </c>
      <c r="C45" s="57">
        <v>1.0</v>
      </c>
      <c r="D45" s="43" t="s">
        <v>179</v>
      </c>
      <c r="E45" s="64">
        <v>200000.0</v>
      </c>
      <c r="F45" s="29">
        <v>2010.0</v>
      </c>
      <c r="G45" s="73">
        <v>75000.0</v>
      </c>
      <c r="H45" s="29" t="s">
        <v>211</v>
      </c>
      <c r="I45" s="29" t="s">
        <v>212</v>
      </c>
    </row>
    <row r="46">
      <c r="A46" s="66" t="s">
        <v>206</v>
      </c>
      <c r="B46" s="41" t="s">
        <v>183</v>
      </c>
      <c r="C46" s="57">
        <v>1.0</v>
      </c>
      <c r="D46" s="43" t="s">
        <v>184</v>
      </c>
      <c r="E46" s="64">
        <v>10000.0</v>
      </c>
      <c r="F46" s="29">
        <v>2011.0</v>
      </c>
    </row>
    <row r="47">
      <c r="A47" s="76" t="s">
        <v>206</v>
      </c>
      <c r="B47" s="41" t="s">
        <v>186</v>
      </c>
      <c r="C47" s="18">
        <v>1.0</v>
      </c>
      <c r="D47" s="42" t="s">
        <v>187</v>
      </c>
      <c r="E47" s="64">
        <v>100000.0</v>
      </c>
      <c r="F47" s="29">
        <v>2012.0</v>
      </c>
    </row>
    <row r="48">
      <c r="A48" s="76" t="s">
        <v>206</v>
      </c>
      <c r="B48" s="41" t="s">
        <v>189</v>
      </c>
      <c r="C48" s="57">
        <v>1.0</v>
      </c>
      <c r="D48" s="43" t="s">
        <v>190</v>
      </c>
      <c r="E48" s="64">
        <v>75000.0</v>
      </c>
      <c r="F48" s="29">
        <v>2007.0</v>
      </c>
    </row>
    <row r="49">
      <c r="A49" s="76" t="s">
        <v>206</v>
      </c>
      <c r="B49" s="41" t="s">
        <v>192</v>
      </c>
      <c r="C49" s="18">
        <v>1.0</v>
      </c>
      <c r="D49" s="11" t="s">
        <v>193</v>
      </c>
      <c r="E49" s="64">
        <v>250000.0</v>
      </c>
      <c r="F49" s="29">
        <v>2008.0</v>
      </c>
    </row>
    <row r="50">
      <c r="A50" s="76" t="s">
        <v>206</v>
      </c>
      <c r="B50" s="41" t="s">
        <v>195</v>
      </c>
      <c r="C50" s="57">
        <v>1.0</v>
      </c>
      <c r="D50" s="27" t="s">
        <v>196</v>
      </c>
      <c r="E50" s="64">
        <v>500000.0</v>
      </c>
      <c r="F50" s="29">
        <v>2012.0</v>
      </c>
    </row>
    <row r="51">
      <c r="A51" s="29" t="s">
        <v>206</v>
      </c>
      <c r="B51" s="41" t="s">
        <v>198</v>
      </c>
      <c r="C51" s="18">
        <v>1.0</v>
      </c>
      <c r="D51" s="11" t="s">
        <v>199</v>
      </c>
      <c r="E51" s="73">
        <v>50000.0</v>
      </c>
      <c r="F51" s="29">
        <v>2015.0</v>
      </c>
    </row>
    <row r="52">
      <c r="A52" s="77"/>
      <c r="B52" s="44"/>
      <c r="C52" s="46"/>
      <c r="D52" s="46"/>
      <c r="E52" s="78"/>
      <c r="F52" s="46"/>
      <c r="G52" s="46"/>
      <c r="H52" s="46"/>
      <c r="I52" s="46"/>
      <c r="J52" s="46"/>
      <c r="K52" s="46"/>
      <c r="L52" s="46"/>
      <c r="M52" s="46"/>
      <c r="N52" s="46"/>
      <c r="O52" s="46"/>
      <c r="P52" s="46"/>
      <c r="Q52" s="46"/>
      <c r="R52" s="46"/>
      <c r="S52" s="46"/>
      <c r="T52" s="46"/>
      <c r="U52" s="46"/>
      <c r="V52" s="46"/>
    </row>
    <row r="54">
      <c r="A54" s="79"/>
      <c r="B54" s="48"/>
      <c r="C54">
        <f>sum(C2:C50)</f>
        <v>42</v>
      </c>
      <c r="E54" s="80">
        <f>sum(E2:E51)</f>
        <v>9016500</v>
      </c>
      <c r="F54" s="80"/>
      <c r="G54" s="80">
        <f>sum(G2:G51)</f>
        <v>361500</v>
      </c>
      <c r="H54" s="80">
        <f>sum(E54:G54)</f>
        <v>9378000</v>
      </c>
    </row>
    <row r="55">
      <c r="A55" s="79"/>
      <c r="B55" s="48"/>
      <c r="E55" s="80"/>
    </row>
    <row r="56">
      <c r="A56" s="79"/>
      <c r="B56" s="48"/>
      <c r="E56" s="80"/>
    </row>
    <row r="57">
      <c r="A57" s="79"/>
      <c r="B57" s="48"/>
      <c r="E57" s="80"/>
    </row>
    <row r="58">
      <c r="A58" s="79"/>
      <c r="B58" s="48"/>
      <c r="E58" s="80"/>
    </row>
    <row r="59">
      <c r="A59" s="79"/>
      <c r="B59" s="48"/>
      <c r="E59" s="80"/>
    </row>
    <row r="60">
      <c r="A60" s="79"/>
      <c r="B60" s="48"/>
      <c r="E60" s="80"/>
    </row>
    <row r="61">
      <c r="A61" s="79"/>
      <c r="B61" s="48"/>
      <c r="E61" s="80"/>
    </row>
    <row r="62">
      <c r="A62" s="79"/>
      <c r="B62" s="48"/>
      <c r="E62" s="80"/>
    </row>
    <row r="63">
      <c r="A63" s="79"/>
      <c r="B63" s="48"/>
      <c r="E63" s="80"/>
    </row>
    <row r="64">
      <c r="A64" s="79"/>
      <c r="B64" s="48"/>
      <c r="E64" s="80"/>
    </row>
    <row r="65">
      <c r="A65" s="79"/>
      <c r="B65" s="48"/>
      <c r="E65" s="80"/>
    </row>
    <row r="66">
      <c r="A66" s="79"/>
      <c r="B66" s="48"/>
      <c r="E66" s="80"/>
    </row>
    <row r="67">
      <c r="A67" s="79"/>
      <c r="B67" s="48"/>
      <c r="E67" s="80"/>
    </row>
    <row r="68">
      <c r="A68" s="79"/>
      <c r="B68" s="48"/>
      <c r="E68" s="80"/>
    </row>
    <row r="69">
      <c r="A69" s="79"/>
      <c r="B69" s="48"/>
      <c r="E69" s="80"/>
    </row>
    <row r="70">
      <c r="A70" s="79"/>
      <c r="B70" s="48"/>
      <c r="E70" s="80"/>
    </row>
    <row r="71">
      <c r="A71" s="79"/>
      <c r="B71" s="48"/>
      <c r="E71" s="80"/>
    </row>
    <row r="72">
      <c r="A72" s="79"/>
      <c r="B72" s="48"/>
      <c r="E72" s="80"/>
    </row>
    <row r="73">
      <c r="A73" s="79"/>
      <c r="B73" s="48"/>
      <c r="E73" s="80"/>
    </row>
    <row r="74">
      <c r="A74" s="79"/>
      <c r="B74" s="48"/>
      <c r="E74" s="80"/>
    </row>
    <row r="75">
      <c r="A75" s="79"/>
      <c r="B75" s="48"/>
      <c r="E75" s="80"/>
    </row>
    <row r="76">
      <c r="A76" s="79"/>
      <c r="B76" s="48"/>
      <c r="E76" s="80"/>
    </row>
    <row r="77">
      <c r="A77" s="79"/>
      <c r="B77" s="48"/>
      <c r="E77" s="80"/>
    </row>
    <row r="78">
      <c r="A78" s="79"/>
      <c r="B78" s="48"/>
      <c r="E78" s="80"/>
    </row>
    <row r="79">
      <c r="A79" s="79"/>
      <c r="B79" s="48"/>
      <c r="E79" s="80"/>
    </row>
    <row r="80">
      <c r="A80" s="79"/>
      <c r="B80" s="48"/>
      <c r="E80" s="80"/>
    </row>
    <row r="81">
      <c r="A81" s="79"/>
      <c r="B81" s="48"/>
      <c r="E81" s="80"/>
    </row>
    <row r="82">
      <c r="A82" s="79"/>
      <c r="B82" s="48"/>
      <c r="E82" s="80"/>
    </row>
    <row r="83">
      <c r="A83" s="79"/>
      <c r="B83" s="48"/>
      <c r="E83" s="80"/>
    </row>
    <row r="84">
      <c r="A84" s="79"/>
      <c r="B84" s="48"/>
      <c r="E84" s="80"/>
    </row>
    <row r="85">
      <c r="A85" s="79"/>
      <c r="B85" s="48"/>
      <c r="E85" s="80"/>
    </row>
    <row r="86">
      <c r="A86" s="79"/>
      <c r="B86" s="48"/>
      <c r="E86" s="80"/>
    </row>
    <row r="87">
      <c r="A87" s="79"/>
      <c r="B87" s="48"/>
      <c r="E87" s="80"/>
    </row>
    <row r="88">
      <c r="A88" s="79"/>
      <c r="B88" s="48"/>
      <c r="E88" s="80"/>
    </row>
    <row r="89">
      <c r="A89" s="79"/>
      <c r="B89" s="48"/>
      <c r="E89" s="80"/>
    </row>
    <row r="90">
      <c r="A90" s="79"/>
      <c r="B90" s="48"/>
      <c r="E90" s="80"/>
    </row>
    <row r="91">
      <c r="A91" s="79"/>
      <c r="B91" s="48"/>
      <c r="E91" s="80"/>
    </row>
    <row r="92">
      <c r="A92" s="79"/>
      <c r="B92" s="48"/>
      <c r="E92" s="80"/>
    </row>
    <row r="93">
      <c r="A93" s="79"/>
      <c r="B93" s="48"/>
      <c r="E93" s="80"/>
    </row>
    <row r="94">
      <c r="A94" s="79"/>
      <c r="B94" s="48"/>
      <c r="E94" s="80"/>
    </row>
    <row r="95">
      <c r="A95" s="79"/>
      <c r="B95" s="48"/>
      <c r="E95" s="80"/>
    </row>
    <row r="96">
      <c r="A96" s="79"/>
      <c r="B96" s="48"/>
      <c r="E96" s="80"/>
    </row>
    <row r="97">
      <c r="A97" s="79"/>
      <c r="B97" s="48"/>
      <c r="E97" s="80"/>
    </row>
    <row r="98">
      <c r="A98" s="79"/>
      <c r="B98" s="48"/>
      <c r="E98" s="80"/>
    </row>
    <row r="99">
      <c r="A99" s="79"/>
      <c r="B99" s="48"/>
      <c r="E99" s="80"/>
    </row>
    <row r="100">
      <c r="A100" s="79"/>
      <c r="B100" s="48"/>
      <c r="E100" s="80"/>
    </row>
    <row r="101">
      <c r="A101" s="79"/>
      <c r="B101" s="48"/>
      <c r="E101" s="80"/>
    </row>
    <row r="102">
      <c r="A102" s="79"/>
      <c r="B102" s="48"/>
      <c r="E102" s="80"/>
    </row>
    <row r="103">
      <c r="A103" s="79"/>
      <c r="B103" s="48"/>
      <c r="E103" s="80"/>
    </row>
    <row r="104">
      <c r="A104" s="79"/>
      <c r="B104" s="48"/>
      <c r="E104" s="80"/>
    </row>
    <row r="105">
      <c r="A105" s="79"/>
      <c r="B105" s="48"/>
      <c r="E105" s="80"/>
    </row>
    <row r="106">
      <c r="A106" s="79"/>
      <c r="B106" s="48"/>
      <c r="E106" s="80"/>
    </row>
    <row r="107">
      <c r="A107" s="79"/>
      <c r="B107" s="48"/>
      <c r="E107" s="80"/>
    </row>
    <row r="108">
      <c r="A108" s="79"/>
      <c r="B108" s="48"/>
      <c r="E108" s="80"/>
    </row>
    <row r="109">
      <c r="A109" s="79"/>
      <c r="B109" s="48"/>
      <c r="E109" s="80"/>
    </row>
    <row r="110">
      <c r="A110" s="79"/>
      <c r="B110" s="48"/>
      <c r="E110" s="80"/>
    </row>
    <row r="111">
      <c r="A111" s="79"/>
      <c r="B111" s="48"/>
      <c r="E111" s="80"/>
    </row>
    <row r="112">
      <c r="A112" s="79"/>
      <c r="B112" s="48"/>
      <c r="E112" s="80"/>
    </row>
    <row r="113">
      <c r="A113" s="79"/>
      <c r="B113" s="48"/>
      <c r="E113" s="80"/>
    </row>
    <row r="114">
      <c r="A114" s="79"/>
      <c r="B114" s="48"/>
      <c r="E114" s="80"/>
    </row>
    <row r="115">
      <c r="A115" s="79"/>
      <c r="B115" s="48"/>
      <c r="E115" s="80"/>
    </row>
    <row r="116">
      <c r="A116" s="79"/>
      <c r="B116" s="48"/>
      <c r="E116" s="80"/>
    </row>
    <row r="117">
      <c r="A117" s="79"/>
      <c r="B117" s="48"/>
      <c r="E117" s="80"/>
    </row>
    <row r="118">
      <c r="A118" s="79"/>
      <c r="B118" s="48"/>
      <c r="E118" s="80"/>
    </row>
    <row r="119">
      <c r="A119" s="79"/>
      <c r="B119" s="48"/>
      <c r="E119" s="80"/>
    </row>
    <row r="120">
      <c r="A120" s="79"/>
      <c r="B120" s="48"/>
      <c r="E120" s="80"/>
    </row>
    <row r="121">
      <c r="A121" s="79"/>
      <c r="B121" s="48"/>
      <c r="E121" s="80"/>
    </row>
    <row r="122">
      <c r="A122" s="79"/>
      <c r="B122" s="48"/>
      <c r="E122" s="80"/>
    </row>
    <row r="123">
      <c r="A123" s="79"/>
      <c r="B123" s="48"/>
      <c r="E123" s="80"/>
    </row>
    <row r="124">
      <c r="A124" s="79"/>
      <c r="B124" s="48"/>
      <c r="E124" s="80"/>
    </row>
    <row r="125">
      <c r="A125" s="79"/>
      <c r="B125" s="48"/>
      <c r="E125" s="80"/>
    </row>
    <row r="126">
      <c r="A126" s="79"/>
      <c r="B126" s="48"/>
      <c r="E126" s="80"/>
    </row>
    <row r="127">
      <c r="A127" s="79"/>
      <c r="B127" s="48"/>
      <c r="E127" s="80"/>
    </row>
    <row r="128">
      <c r="A128" s="79"/>
      <c r="B128" s="48"/>
      <c r="E128" s="80"/>
    </row>
    <row r="129">
      <c r="A129" s="79"/>
      <c r="B129" s="48"/>
      <c r="E129" s="80"/>
    </row>
    <row r="130">
      <c r="A130" s="79"/>
      <c r="B130" s="48"/>
      <c r="E130" s="80"/>
    </row>
    <row r="131">
      <c r="A131" s="79"/>
      <c r="B131" s="48"/>
      <c r="E131" s="80"/>
    </row>
    <row r="132">
      <c r="A132" s="79"/>
      <c r="B132" s="48"/>
      <c r="E132" s="80"/>
    </row>
    <row r="133">
      <c r="A133" s="79"/>
      <c r="B133" s="48"/>
      <c r="E133" s="80"/>
    </row>
    <row r="134">
      <c r="A134" s="79"/>
      <c r="B134" s="48"/>
      <c r="E134" s="80"/>
    </row>
    <row r="135">
      <c r="A135" s="79"/>
      <c r="B135" s="48"/>
      <c r="E135" s="80"/>
    </row>
    <row r="136">
      <c r="A136" s="79"/>
      <c r="B136" s="48"/>
      <c r="E136" s="80"/>
    </row>
    <row r="137">
      <c r="A137" s="79"/>
      <c r="B137" s="48"/>
      <c r="E137" s="80"/>
    </row>
    <row r="138">
      <c r="A138" s="79"/>
      <c r="B138" s="48"/>
      <c r="E138" s="80"/>
    </row>
    <row r="139">
      <c r="A139" s="79"/>
      <c r="B139" s="48"/>
      <c r="E139" s="80"/>
    </row>
    <row r="140">
      <c r="A140" s="79"/>
      <c r="B140" s="48"/>
      <c r="E140" s="80"/>
    </row>
    <row r="141">
      <c r="A141" s="79"/>
      <c r="B141" s="48"/>
      <c r="E141" s="80"/>
    </row>
    <row r="142">
      <c r="A142" s="79"/>
      <c r="B142" s="48"/>
      <c r="E142" s="80"/>
    </row>
    <row r="143">
      <c r="A143" s="79"/>
      <c r="B143" s="48"/>
      <c r="E143" s="80"/>
    </row>
    <row r="144">
      <c r="A144" s="79"/>
      <c r="B144" s="48"/>
      <c r="E144" s="80"/>
    </row>
    <row r="145">
      <c r="A145" s="79"/>
      <c r="B145" s="48"/>
      <c r="E145" s="80"/>
    </row>
    <row r="146">
      <c r="A146" s="79"/>
      <c r="B146" s="48"/>
      <c r="E146" s="80"/>
    </row>
    <row r="147">
      <c r="A147" s="79"/>
      <c r="B147" s="48"/>
      <c r="E147" s="80"/>
    </row>
    <row r="148">
      <c r="A148" s="79"/>
      <c r="B148" s="48"/>
      <c r="E148" s="80"/>
    </row>
    <row r="149">
      <c r="A149" s="79"/>
      <c r="B149" s="48"/>
      <c r="E149" s="80"/>
    </row>
    <row r="150">
      <c r="A150" s="79"/>
      <c r="B150" s="48"/>
      <c r="E150" s="80"/>
    </row>
    <row r="151">
      <c r="A151" s="79"/>
      <c r="B151" s="48"/>
      <c r="E151" s="80"/>
    </row>
    <row r="152">
      <c r="A152" s="79"/>
      <c r="B152" s="48"/>
      <c r="E152" s="80"/>
    </row>
    <row r="153">
      <c r="A153" s="79"/>
      <c r="B153" s="48"/>
      <c r="E153" s="80"/>
    </row>
    <row r="154">
      <c r="A154" s="79"/>
      <c r="B154" s="48"/>
      <c r="E154" s="80"/>
    </row>
    <row r="155">
      <c r="A155" s="79"/>
      <c r="B155" s="48"/>
      <c r="E155" s="80"/>
    </row>
    <row r="156">
      <c r="A156" s="79"/>
      <c r="B156" s="48"/>
      <c r="E156" s="80"/>
    </row>
    <row r="157">
      <c r="A157" s="79"/>
      <c r="B157" s="48"/>
      <c r="E157" s="80"/>
    </row>
    <row r="158">
      <c r="A158" s="79"/>
      <c r="B158" s="48"/>
      <c r="E158" s="80"/>
    </row>
    <row r="159">
      <c r="A159" s="79"/>
      <c r="B159" s="48"/>
      <c r="E159" s="80"/>
    </row>
    <row r="160">
      <c r="A160" s="79"/>
      <c r="B160" s="48"/>
      <c r="E160" s="80"/>
    </row>
    <row r="161">
      <c r="A161" s="79"/>
      <c r="B161" s="48"/>
      <c r="E161" s="80"/>
    </row>
    <row r="162">
      <c r="A162" s="79"/>
      <c r="B162" s="48"/>
      <c r="E162" s="80"/>
    </row>
    <row r="163">
      <c r="A163" s="79"/>
      <c r="B163" s="48"/>
      <c r="E163" s="80"/>
    </row>
    <row r="164">
      <c r="A164" s="79"/>
      <c r="B164" s="48"/>
      <c r="E164" s="80"/>
    </row>
    <row r="165">
      <c r="A165" s="79"/>
      <c r="B165" s="48"/>
      <c r="E165" s="80"/>
    </row>
    <row r="166">
      <c r="A166" s="79"/>
      <c r="B166" s="48"/>
      <c r="E166" s="80"/>
    </row>
    <row r="167">
      <c r="A167" s="79"/>
      <c r="B167" s="48"/>
      <c r="E167" s="80"/>
    </row>
    <row r="168">
      <c r="A168" s="79"/>
      <c r="B168" s="48"/>
      <c r="E168" s="80"/>
    </row>
    <row r="169">
      <c r="A169" s="79"/>
      <c r="B169" s="48"/>
      <c r="E169" s="80"/>
    </row>
    <row r="170">
      <c r="A170" s="79"/>
      <c r="B170" s="48"/>
      <c r="E170" s="80"/>
    </row>
    <row r="171">
      <c r="A171" s="79"/>
      <c r="B171" s="48"/>
      <c r="E171" s="80"/>
    </row>
    <row r="172">
      <c r="A172" s="79"/>
      <c r="B172" s="48"/>
      <c r="E172" s="80"/>
    </row>
    <row r="173">
      <c r="A173" s="79"/>
      <c r="B173" s="48"/>
      <c r="E173" s="80"/>
    </row>
    <row r="174">
      <c r="A174" s="79"/>
      <c r="B174" s="48"/>
      <c r="E174" s="80"/>
    </row>
    <row r="175">
      <c r="A175" s="79"/>
      <c r="B175" s="48"/>
      <c r="E175" s="80"/>
    </row>
    <row r="176">
      <c r="A176" s="79"/>
      <c r="B176" s="48"/>
      <c r="E176" s="80"/>
    </row>
    <row r="177">
      <c r="A177" s="79"/>
      <c r="B177" s="48"/>
      <c r="E177" s="80"/>
    </row>
    <row r="178">
      <c r="A178" s="79"/>
      <c r="B178" s="48"/>
      <c r="E178" s="80"/>
    </row>
    <row r="179">
      <c r="A179" s="79"/>
      <c r="B179" s="48"/>
      <c r="E179" s="80"/>
    </row>
    <row r="180">
      <c r="A180" s="79"/>
      <c r="B180" s="48"/>
      <c r="E180" s="80"/>
    </row>
    <row r="181">
      <c r="A181" s="79"/>
      <c r="B181" s="48"/>
      <c r="E181" s="80"/>
    </row>
    <row r="182">
      <c r="A182" s="79"/>
      <c r="B182" s="48"/>
      <c r="E182" s="80"/>
    </row>
    <row r="183">
      <c r="A183" s="79"/>
      <c r="B183" s="48"/>
      <c r="E183" s="80"/>
    </row>
    <row r="184">
      <c r="A184" s="79"/>
      <c r="B184" s="48"/>
      <c r="E184" s="80"/>
    </row>
    <row r="185">
      <c r="A185" s="79"/>
      <c r="B185" s="48"/>
      <c r="E185" s="80"/>
    </row>
    <row r="186">
      <c r="A186" s="79"/>
      <c r="B186" s="48"/>
      <c r="E186" s="80"/>
    </row>
    <row r="187">
      <c r="A187" s="79"/>
      <c r="B187" s="48"/>
      <c r="E187" s="80"/>
    </row>
    <row r="188">
      <c r="A188" s="79"/>
      <c r="B188" s="48"/>
      <c r="E188" s="80"/>
    </row>
    <row r="189">
      <c r="A189" s="79"/>
      <c r="B189" s="48"/>
      <c r="E189" s="80"/>
    </row>
    <row r="190">
      <c r="A190" s="79"/>
      <c r="B190" s="48"/>
      <c r="E190" s="80"/>
    </row>
    <row r="191">
      <c r="A191" s="79"/>
      <c r="B191" s="48"/>
      <c r="E191" s="80"/>
    </row>
    <row r="192">
      <c r="A192" s="79"/>
      <c r="B192" s="48"/>
      <c r="E192" s="80"/>
    </row>
    <row r="193">
      <c r="A193" s="79"/>
      <c r="B193" s="48"/>
      <c r="E193" s="80"/>
    </row>
    <row r="194">
      <c r="A194" s="79"/>
      <c r="B194" s="48"/>
      <c r="E194" s="80"/>
    </row>
    <row r="195">
      <c r="A195" s="79"/>
      <c r="B195" s="48"/>
      <c r="E195" s="80"/>
    </row>
    <row r="196">
      <c r="A196" s="79"/>
      <c r="B196" s="48"/>
      <c r="E196" s="80"/>
    </row>
    <row r="197">
      <c r="A197" s="79"/>
      <c r="B197" s="48"/>
      <c r="E197" s="80"/>
    </row>
    <row r="198">
      <c r="A198" s="79"/>
      <c r="B198" s="48"/>
      <c r="E198" s="80"/>
    </row>
    <row r="199">
      <c r="A199" s="79"/>
      <c r="B199" s="48"/>
      <c r="E199" s="80"/>
    </row>
    <row r="200">
      <c r="A200" s="79"/>
      <c r="B200" s="48"/>
      <c r="E200" s="80"/>
    </row>
    <row r="201">
      <c r="A201" s="79"/>
      <c r="B201" s="48"/>
      <c r="E201" s="80"/>
    </row>
    <row r="202">
      <c r="A202" s="79"/>
      <c r="B202" s="48"/>
      <c r="E202" s="80"/>
    </row>
    <row r="203">
      <c r="A203" s="79"/>
      <c r="B203" s="48"/>
      <c r="E203" s="80"/>
    </row>
    <row r="204">
      <c r="A204" s="79"/>
      <c r="B204" s="48"/>
      <c r="E204" s="80"/>
    </row>
    <row r="205">
      <c r="A205" s="79"/>
      <c r="B205" s="48"/>
      <c r="E205" s="80"/>
    </row>
    <row r="206">
      <c r="A206" s="79"/>
      <c r="B206" s="48"/>
      <c r="E206" s="80"/>
    </row>
    <row r="207">
      <c r="A207" s="79"/>
      <c r="B207" s="48"/>
      <c r="E207" s="80"/>
    </row>
    <row r="208">
      <c r="A208" s="79"/>
      <c r="B208" s="48"/>
      <c r="E208" s="80"/>
    </row>
    <row r="209">
      <c r="A209" s="79"/>
      <c r="B209" s="48"/>
      <c r="E209" s="80"/>
    </row>
    <row r="210">
      <c r="A210" s="79"/>
      <c r="B210" s="48"/>
      <c r="E210" s="80"/>
    </row>
    <row r="211">
      <c r="A211" s="79"/>
      <c r="B211" s="48"/>
      <c r="E211" s="80"/>
    </row>
    <row r="212">
      <c r="A212" s="79"/>
      <c r="B212" s="48"/>
      <c r="E212" s="80"/>
    </row>
    <row r="213">
      <c r="A213" s="79"/>
      <c r="B213" s="48"/>
      <c r="E213" s="80"/>
    </row>
    <row r="214">
      <c r="A214" s="79"/>
      <c r="B214" s="48"/>
      <c r="E214" s="80"/>
    </row>
    <row r="215">
      <c r="A215" s="79"/>
      <c r="B215" s="48"/>
      <c r="E215" s="80"/>
    </row>
    <row r="216">
      <c r="A216" s="79"/>
      <c r="B216" s="48"/>
      <c r="E216" s="80"/>
    </row>
    <row r="217">
      <c r="A217" s="79"/>
      <c r="B217" s="48"/>
      <c r="E217" s="80"/>
    </row>
    <row r="218">
      <c r="A218" s="79"/>
      <c r="B218" s="48"/>
      <c r="E218" s="80"/>
    </row>
    <row r="219">
      <c r="A219" s="79"/>
      <c r="B219" s="48"/>
      <c r="E219" s="80"/>
    </row>
    <row r="220">
      <c r="A220" s="79"/>
      <c r="B220" s="48"/>
      <c r="E220" s="80"/>
    </row>
    <row r="221">
      <c r="A221" s="79"/>
      <c r="B221" s="48"/>
      <c r="E221" s="80"/>
    </row>
    <row r="222">
      <c r="A222" s="79"/>
      <c r="B222" s="48"/>
      <c r="E222" s="80"/>
    </row>
    <row r="223">
      <c r="A223" s="79"/>
      <c r="B223" s="48"/>
      <c r="E223" s="80"/>
    </row>
    <row r="224">
      <c r="A224" s="79"/>
      <c r="B224" s="48"/>
      <c r="E224" s="80"/>
    </row>
    <row r="225">
      <c r="A225" s="79"/>
      <c r="B225" s="48"/>
      <c r="E225" s="80"/>
    </row>
    <row r="226">
      <c r="A226" s="79"/>
      <c r="B226" s="48"/>
      <c r="E226" s="80"/>
    </row>
    <row r="227">
      <c r="A227" s="79"/>
      <c r="B227" s="48"/>
      <c r="E227" s="80"/>
    </row>
    <row r="228">
      <c r="A228" s="79"/>
      <c r="B228" s="48"/>
      <c r="E228" s="80"/>
    </row>
    <row r="229">
      <c r="A229" s="79"/>
      <c r="B229" s="48"/>
      <c r="E229" s="80"/>
    </row>
    <row r="230">
      <c r="A230" s="79"/>
      <c r="B230" s="48"/>
      <c r="E230" s="80"/>
    </row>
    <row r="231">
      <c r="A231" s="79"/>
      <c r="B231" s="48"/>
      <c r="E231" s="80"/>
    </row>
    <row r="232">
      <c r="A232" s="79"/>
      <c r="B232" s="48"/>
      <c r="E232" s="80"/>
    </row>
    <row r="233">
      <c r="A233" s="79"/>
      <c r="B233" s="48"/>
      <c r="E233" s="80"/>
    </row>
    <row r="234">
      <c r="A234" s="79"/>
      <c r="B234" s="48"/>
      <c r="E234" s="80"/>
    </row>
    <row r="235">
      <c r="A235" s="79"/>
      <c r="B235" s="48"/>
      <c r="E235" s="80"/>
    </row>
    <row r="236">
      <c r="A236" s="79"/>
      <c r="B236" s="48"/>
      <c r="E236" s="80"/>
    </row>
    <row r="237">
      <c r="A237" s="79"/>
      <c r="B237" s="48"/>
      <c r="E237" s="80"/>
    </row>
    <row r="238">
      <c r="A238" s="79"/>
      <c r="B238" s="48"/>
      <c r="E238" s="80"/>
    </row>
    <row r="239">
      <c r="A239" s="79"/>
      <c r="B239" s="48"/>
      <c r="E239" s="80"/>
    </row>
    <row r="240">
      <c r="A240" s="79"/>
      <c r="B240" s="48"/>
      <c r="E240" s="80"/>
    </row>
    <row r="241">
      <c r="A241" s="79"/>
      <c r="B241" s="48"/>
      <c r="E241" s="80"/>
    </row>
    <row r="242">
      <c r="A242" s="79"/>
      <c r="B242" s="48"/>
      <c r="E242" s="80"/>
    </row>
    <row r="243">
      <c r="A243" s="79"/>
      <c r="B243" s="48"/>
      <c r="E243" s="80"/>
    </row>
    <row r="244">
      <c r="A244" s="79"/>
      <c r="B244" s="48"/>
      <c r="E244" s="80"/>
    </row>
    <row r="245">
      <c r="A245" s="79"/>
      <c r="B245" s="48"/>
      <c r="E245" s="80"/>
    </row>
    <row r="246">
      <c r="A246" s="79"/>
      <c r="B246" s="48"/>
      <c r="E246" s="80"/>
    </row>
    <row r="247">
      <c r="A247" s="79"/>
      <c r="B247" s="48"/>
      <c r="E247" s="80"/>
    </row>
    <row r="248">
      <c r="A248" s="79"/>
      <c r="B248" s="48"/>
      <c r="E248" s="80"/>
    </row>
    <row r="249">
      <c r="A249" s="79"/>
      <c r="B249" s="48"/>
      <c r="E249" s="80"/>
    </row>
    <row r="250">
      <c r="A250" s="79"/>
      <c r="B250" s="48"/>
      <c r="E250" s="80"/>
    </row>
    <row r="251">
      <c r="A251" s="79"/>
      <c r="B251" s="48"/>
      <c r="E251" s="80"/>
    </row>
    <row r="252">
      <c r="A252" s="79"/>
      <c r="B252" s="48"/>
      <c r="E252" s="80"/>
    </row>
    <row r="253">
      <c r="A253" s="79"/>
      <c r="B253" s="48"/>
      <c r="E253" s="80"/>
    </row>
    <row r="254">
      <c r="A254" s="79"/>
      <c r="B254" s="48"/>
      <c r="E254" s="80"/>
    </row>
    <row r="255">
      <c r="A255" s="79"/>
      <c r="B255" s="48"/>
      <c r="E255" s="80"/>
    </row>
    <row r="256">
      <c r="A256" s="79"/>
      <c r="B256" s="48"/>
      <c r="E256" s="80"/>
    </row>
    <row r="257">
      <c r="A257" s="79"/>
      <c r="B257" s="48"/>
      <c r="E257" s="80"/>
    </row>
    <row r="258">
      <c r="A258" s="79"/>
      <c r="B258" s="48"/>
      <c r="E258" s="80"/>
    </row>
    <row r="259">
      <c r="A259" s="79"/>
      <c r="B259" s="48"/>
      <c r="E259" s="80"/>
    </row>
    <row r="260">
      <c r="A260" s="79"/>
      <c r="B260" s="48"/>
      <c r="E260" s="80"/>
    </row>
    <row r="261">
      <c r="A261" s="79"/>
      <c r="B261" s="48"/>
      <c r="E261" s="80"/>
    </row>
    <row r="262">
      <c r="A262" s="79"/>
      <c r="B262" s="48"/>
      <c r="E262" s="80"/>
    </row>
    <row r="263">
      <c r="A263" s="79"/>
      <c r="B263" s="48"/>
      <c r="E263" s="80"/>
    </row>
    <row r="264">
      <c r="A264" s="79"/>
      <c r="B264" s="48"/>
      <c r="E264" s="80"/>
    </row>
    <row r="265">
      <c r="A265" s="79"/>
      <c r="B265" s="48"/>
      <c r="E265" s="80"/>
    </row>
    <row r="266">
      <c r="A266" s="79"/>
      <c r="B266" s="48"/>
      <c r="E266" s="80"/>
    </row>
    <row r="267">
      <c r="A267" s="79"/>
      <c r="B267" s="48"/>
      <c r="E267" s="80"/>
    </row>
    <row r="268">
      <c r="A268" s="79"/>
      <c r="B268" s="48"/>
      <c r="E268" s="80"/>
    </row>
    <row r="269">
      <c r="A269" s="79"/>
      <c r="B269" s="48"/>
      <c r="E269" s="80"/>
    </row>
    <row r="270">
      <c r="A270" s="79"/>
      <c r="B270" s="48"/>
      <c r="E270" s="80"/>
    </row>
    <row r="271">
      <c r="A271" s="79"/>
      <c r="B271" s="48"/>
      <c r="E271" s="80"/>
    </row>
    <row r="272">
      <c r="A272" s="79"/>
      <c r="B272" s="48"/>
      <c r="E272" s="80"/>
    </row>
    <row r="273">
      <c r="A273" s="79"/>
      <c r="B273" s="48"/>
      <c r="E273" s="80"/>
    </row>
    <row r="274">
      <c r="A274" s="79"/>
      <c r="B274" s="48"/>
      <c r="E274" s="80"/>
    </row>
    <row r="275">
      <c r="A275" s="79"/>
      <c r="B275" s="48"/>
      <c r="E275" s="80"/>
    </row>
    <row r="276">
      <c r="A276" s="79"/>
      <c r="B276" s="48"/>
      <c r="E276" s="80"/>
    </row>
    <row r="277">
      <c r="A277" s="79"/>
      <c r="B277" s="48"/>
      <c r="E277" s="80"/>
    </row>
    <row r="278">
      <c r="A278" s="79"/>
      <c r="B278" s="48"/>
      <c r="E278" s="80"/>
    </row>
    <row r="279">
      <c r="A279" s="79"/>
      <c r="B279" s="48"/>
      <c r="E279" s="80"/>
    </row>
    <row r="280">
      <c r="A280" s="79"/>
      <c r="B280" s="48"/>
      <c r="E280" s="80"/>
    </row>
    <row r="281">
      <c r="A281" s="79"/>
      <c r="B281" s="48"/>
      <c r="E281" s="80"/>
    </row>
    <row r="282">
      <c r="A282" s="79"/>
      <c r="B282" s="48"/>
      <c r="E282" s="80"/>
    </row>
    <row r="283">
      <c r="A283" s="79"/>
      <c r="B283" s="48"/>
      <c r="E283" s="80"/>
    </row>
    <row r="284">
      <c r="A284" s="79"/>
      <c r="B284" s="48"/>
      <c r="E284" s="80"/>
    </row>
    <row r="285">
      <c r="A285" s="79"/>
      <c r="B285" s="48"/>
      <c r="E285" s="80"/>
    </row>
    <row r="286">
      <c r="A286" s="79"/>
      <c r="B286" s="48"/>
      <c r="E286" s="80"/>
    </row>
    <row r="287">
      <c r="A287" s="79"/>
      <c r="B287" s="48"/>
      <c r="E287" s="80"/>
    </row>
    <row r="288">
      <c r="A288" s="79"/>
      <c r="B288" s="48"/>
      <c r="E288" s="80"/>
    </row>
    <row r="289">
      <c r="A289" s="79"/>
      <c r="B289" s="48"/>
      <c r="E289" s="80"/>
    </row>
    <row r="290">
      <c r="A290" s="79"/>
      <c r="B290" s="48"/>
      <c r="E290" s="80"/>
    </row>
    <row r="291">
      <c r="A291" s="79"/>
      <c r="B291" s="48"/>
      <c r="E291" s="80"/>
    </row>
    <row r="292">
      <c r="A292" s="79"/>
      <c r="B292" s="48"/>
      <c r="E292" s="80"/>
    </row>
    <row r="293">
      <c r="A293" s="79"/>
      <c r="B293" s="48"/>
      <c r="E293" s="80"/>
    </row>
    <row r="294">
      <c r="A294" s="79"/>
      <c r="B294" s="48"/>
      <c r="E294" s="80"/>
    </row>
    <row r="295">
      <c r="A295" s="79"/>
      <c r="B295" s="48"/>
      <c r="E295" s="80"/>
    </row>
    <row r="296">
      <c r="A296" s="79"/>
      <c r="B296" s="48"/>
      <c r="E296" s="80"/>
    </row>
    <row r="297">
      <c r="A297" s="79"/>
      <c r="B297" s="48"/>
      <c r="E297" s="80"/>
    </row>
    <row r="298">
      <c r="A298" s="79"/>
      <c r="B298" s="48"/>
      <c r="E298" s="80"/>
    </row>
    <row r="299">
      <c r="A299" s="79"/>
      <c r="B299" s="48"/>
      <c r="E299" s="80"/>
    </row>
    <row r="300">
      <c r="A300" s="79"/>
      <c r="B300" s="48"/>
      <c r="E300" s="80"/>
    </row>
    <row r="301">
      <c r="A301" s="79"/>
      <c r="B301" s="48"/>
      <c r="E301" s="80"/>
    </row>
    <row r="302">
      <c r="A302" s="79"/>
      <c r="B302" s="48"/>
      <c r="E302" s="80"/>
    </row>
    <row r="303">
      <c r="A303" s="79"/>
      <c r="B303" s="48"/>
      <c r="E303" s="80"/>
    </row>
    <row r="304">
      <c r="A304" s="79"/>
      <c r="B304" s="48"/>
      <c r="E304" s="80"/>
    </row>
    <row r="305">
      <c r="A305" s="79"/>
      <c r="B305" s="48"/>
      <c r="E305" s="80"/>
    </row>
    <row r="306">
      <c r="A306" s="79"/>
      <c r="B306" s="48"/>
      <c r="E306" s="80"/>
    </row>
    <row r="307">
      <c r="A307" s="79"/>
      <c r="B307" s="48"/>
      <c r="E307" s="80"/>
    </row>
    <row r="308">
      <c r="A308" s="79"/>
      <c r="B308" s="48"/>
      <c r="E308" s="80"/>
    </row>
    <row r="309">
      <c r="A309" s="79"/>
      <c r="B309" s="48"/>
      <c r="E309" s="80"/>
    </row>
    <row r="310">
      <c r="A310" s="79"/>
      <c r="B310" s="48"/>
      <c r="E310" s="80"/>
    </row>
    <row r="311">
      <c r="A311" s="79"/>
      <c r="B311" s="48"/>
      <c r="E311" s="80"/>
    </row>
    <row r="312">
      <c r="A312" s="79"/>
      <c r="B312" s="48"/>
      <c r="E312" s="80"/>
    </row>
    <row r="313">
      <c r="A313" s="79"/>
      <c r="B313" s="48"/>
      <c r="E313" s="80"/>
    </row>
    <row r="314">
      <c r="A314" s="79"/>
      <c r="B314" s="48"/>
      <c r="E314" s="80"/>
    </row>
    <row r="315">
      <c r="A315" s="79"/>
      <c r="B315" s="48"/>
      <c r="E315" s="80"/>
    </row>
    <row r="316">
      <c r="A316" s="79"/>
      <c r="B316" s="48"/>
      <c r="E316" s="80"/>
    </row>
    <row r="317">
      <c r="A317" s="79"/>
      <c r="B317" s="48"/>
      <c r="E317" s="80"/>
    </row>
    <row r="318">
      <c r="A318" s="79"/>
      <c r="B318" s="48"/>
      <c r="E318" s="80"/>
    </row>
    <row r="319">
      <c r="A319" s="79"/>
      <c r="B319" s="48"/>
      <c r="E319" s="80"/>
    </row>
    <row r="320">
      <c r="A320" s="79"/>
      <c r="B320" s="48"/>
      <c r="E320" s="80"/>
    </row>
    <row r="321">
      <c r="A321" s="79"/>
      <c r="B321" s="48"/>
      <c r="E321" s="80"/>
    </row>
    <row r="322">
      <c r="A322" s="79"/>
      <c r="B322" s="48"/>
      <c r="E322" s="80"/>
    </row>
    <row r="323">
      <c r="A323" s="79"/>
      <c r="B323" s="48"/>
      <c r="E323" s="80"/>
    </row>
    <row r="324">
      <c r="A324" s="79"/>
      <c r="B324" s="48"/>
      <c r="E324" s="80"/>
    </row>
    <row r="325">
      <c r="A325" s="79"/>
      <c r="B325" s="48"/>
      <c r="E325" s="80"/>
    </row>
    <row r="326">
      <c r="A326" s="79"/>
      <c r="B326" s="48"/>
      <c r="E326" s="80"/>
    </row>
    <row r="327">
      <c r="A327" s="79"/>
      <c r="B327" s="48"/>
      <c r="E327" s="80"/>
    </row>
    <row r="328">
      <c r="A328" s="79"/>
      <c r="B328" s="48"/>
      <c r="E328" s="80"/>
    </row>
    <row r="329">
      <c r="A329" s="79"/>
      <c r="B329" s="48"/>
      <c r="E329" s="80"/>
    </row>
    <row r="330">
      <c r="A330" s="79"/>
      <c r="B330" s="48"/>
      <c r="E330" s="80"/>
    </row>
    <row r="331">
      <c r="A331" s="79"/>
      <c r="B331" s="48"/>
      <c r="E331" s="80"/>
    </row>
    <row r="332">
      <c r="A332" s="79"/>
      <c r="B332" s="48"/>
      <c r="E332" s="80"/>
    </row>
    <row r="333">
      <c r="A333" s="79"/>
      <c r="B333" s="48"/>
      <c r="E333" s="80"/>
    </row>
    <row r="334">
      <c r="A334" s="79"/>
      <c r="B334" s="48"/>
      <c r="E334" s="80"/>
    </row>
    <row r="335">
      <c r="A335" s="79"/>
      <c r="B335" s="48"/>
      <c r="E335" s="80"/>
    </row>
    <row r="336">
      <c r="A336" s="79"/>
      <c r="B336" s="48"/>
      <c r="E336" s="80"/>
    </row>
    <row r="337">
      <c r="A337" s="79"/>
      <c r="B337" s="48"/>
      <c r="E337" s="80"/>
    </row>
    <row r="338">
      <c r="A338" s="79"/>
      <c r="B338" s="48"/>
      <c r="E338" s="80"/>
    </row>
    <row r="339">
      <c r="A339" s="79"/>
      <c r="B339" s="48"/>
      <c r="E339" s="80"/>
    </row>
    <row r="340">
      <c r="A340" s="79"/>
      <c r="B340" s="48"/>
      <c r="E340" s="80"/>
    </row>
    <row r="341">
      <c r="A341" s="79"/>
      <c r="B341" s="48"/>
      <c r="E341" s="80"/>
    </row>
    <row r="342">
      <c r="A342" s="79"/>
      <c r="B342" s="48"/>
      <c r="E342" s="80"/>
    </row>
    <row r="343">
      <c r="A343" s="79"/>
      <c r="B343" s="48"/>
      <c r="E343" s="80"/>
    </row>
    <row r="344">
      <c r="A344" s="79"/>
      <c r="B344" s="48"/>
      <c r="E344" s="80"/>
    </row>
    <row r="345">
      <c r="A345" s="79"/>
      <c r="B345" s="48"/>
      <c r="E345" s="80"/>
    </row>
    <row r="346">
      <c r="A346" s="79"/>
      <c r="B346" s="48"/>
      <c r="E346" s="80"/>
    </row>
    <row r="347">
      <c r="A347" s="79"/>
      <c r="B347" s="48"/>
      <c r="E347" s="80"/>
    </row>
    <row r="348">
      <c r="A348" s="79"/>
      <c r="B348" s="48"/>
      <c r="E348" s="80"/>
    </row>
    <row r="349">
      <c r="A349" s="79"/>
      <c r="B349" s="48"/>
      <c r="E349" s="80"/>
    </row>
    <row r="350">
      <c r="A350" s="79"/>
      <c r="B350" s="48"/>
      <c r="E350" s="80"/>
    </row>
    <row r="351">
      <c r="A351" s="79"/>
      <c r="B351" s="48"/>
      <c r="E351" s="80"/>
    </row>
    <row r="352">
      <c r="A352" s="79"/>
      <c r="B352" s="48"/>
      <c r="E352" s="80"/>
    </row>
    <row r="353">
      <c r="A353" s="79"/>
      <c r="B353" s="48"/>
      <c r="E353" s="80"/>
    </row>
    <row r="354">
      <c r="A354" s="79"/>
      <c r="B354" s="48"/>
      <c r="E354" s="80"/>
    </row>
    <row r="355">
      <c r="A355" s="79"/>
      <c r="B355" s="48"/>
      <c r="E355" s="80"/>
    </row>
    <row r="356">
      <c r="A356" s="79"/>
      <c r="B356" s="48"/>
      <c r="E356" s="80"/>
    </row>
    <row r="357">
      <c r="A357" s="79"/>
      <c r="B357" s="48"/>
      <c r="E357" s="80"/>
    </row>
    <row r="358">
      <c r="A358" s="79"/>
      <c r="B358" s="48"/>
      <c r="E358" s="80"/>
    </row>
    <row r="359">
      <c r="A359" s="79"/>
      <c r="B359" s="48"/>
      <c r="E359" s="80"/>
    </row>
    <row r="360">
      <c r="A360" s="79"/>
      <c r="B360" s="48"/>
      <c r="E360" s="80"/>
    </row>
    <row r="361">
      <c r="A361" s="79"/>
      <c r="B361" s="48"/>
      <c r="E361" s="80"/>
    </row>
    <row r="362">
      <c r="A362" s="79"/>
      <c r="B362" s="48"/>
      <c r="E362" s="80"/>
    </row>
    <row r="363">
      <c r="A363" s="79"/>
      <c r="B363" s="48"/>
      <c r="E363" s="80"/>
    </row>
    <row r="364">
      <c r="A364" s="79"/>
      <c r="B364" s="48"/>
      <c r="E364" s="80"/>
    </row>
    <row r="365">
      <c r="A365" s="79"/>
      <c r="B365" s="48"/>
      <c r="E365" s="80"/>
    </row>
    <row r="366">
      <c r="A366" s="79"/>
      <c r="B366" s="48"/>
      <c r="E366" s="80"/>
    </row>
    <row r="367">
      <c r="A367" s="79"/>
      <c r="B367" s="48"/>
      <c r="E367" s="80"/>
    </row>
    <row r="368">
      <c r="A368" s="79"/>
      <c r="B368" s="48"/>
      <c r="E368" s="80"/>
    </row>
    <row r="369">
      <c r="A369" s="79"/>
      <c r="B369" s="48"/>
      <c r="E369" s="80"/>
    </row>
    <row r="370">
      <c r="A370" s="79"/>
      <c r="B370" s="48"/>
      <c r="E370" s="80"/>
    </row>
    <row r="371">
      <c r="A371" s="79"/>
      <c r="B371" s="48"/>
      <c r="E371" s="80"/>
    </row>
    <row r="372">
      <c r="A372" s="79"/>
      <c r="B372" s="48"/>
      <c r="E372" s="80"/>
    </row>
    <row r="373">
      <c r="A373" s="79"/>
      <c r="B373" s="48"/>
      <c r="E373" s="80"/>
    </row>
    <row r="374">
      <c r="A374" s="79"/>
      <c r="B374" s="48"/>
      <c r="E374" s="80"/>
    </row>
    <row r="375">
      <c r="A375" s="79"/>
      <c r="B375" s="48"/>
      <c r="E375" s="80"/>
    </row>
    <row r="376">
      <c r="A376" s="79"/>
      <c r="B376" s="48"/>
      <c r="E376" s="80"/>
    </row>
    <row r="377">
      <c r="A377" s="79"/>
      <c r="B377" s="48"/>
      <c r="E377" s="80"/>
    </row>
    <row r="378">
      <c r="A378" s="79"/>
      <c r="B378" s="48"/>
      <c r="E378" s="80"/>
    </row>
    <row r="379">
      <c r="A379" s="79"/>
      <c r="B379" s="48"/>
      <c r="E379" s="80"/>
    </row>
    <row r="380">
      <c r="A380" s="79"/>
      <c r="B380" s="48"/>
      <c r="E380" s="80"/>
    </row>
    <row r="381">
      <c r="A381" s="79"/>
      <c r="B381" s="48"/>
      <c r="E381" s="80"/>
    </row>
    <row r="382">
      <c r="A382" s="79"/>
      <c r="B382" s="48"/>
      <c r="E382" s="80"/>
    </row>
    <row r="383">
      <c r="A383" s="79"/>
      <c r="B383" s="48"/>
      <c r="E383" s="80"/>
    </row>
    <row r="384">
      <c r="A384" s="79"/>
      <c r="B384" s="48"/>
      <c r="E384" s="80"/>
    </row>
    <row r="385">
      <c r="A385" s="79"/>
      <c r="B385" s="48"/>
      <c r="E385" s="80"/>
    </row>
    <row r="386">
      <c r="A386" s="79"/>
      <c r="B386" s="48"/>
      <c r="E386" s="80"/>
    </row>
    <row r="387">
      <c r="A387" s="79"/>
      <c r="B387" s="48"/>
      <c r="E387" s="80"/>
    </row>
    <row r="388">
      <c r="A388" s="79"/>
      <c r="B388" s="48"/>
      <c r="E388" s="80"/>
    </row>
    <row r="389">
      <c r="A389" s="79"/>
      <c r="B389" s="48"/>
      <c r="E389" s="80"/>
    </row>
    <row r="390">
      <c r="A390" s="79"/>
      <c r="B390" s="48"/>
      <c r="E390" s="80"/>
    </row>
    <row r="391">
      <c r="A391" s="79"/>
      <c r="B391" s="48"/>
      <c r="E391" s="80"/>
    </row>
    <row r="392">
      <c r="A392" s="79"/>
      <c r="B392" s="48"/>
      <c r="E392" s="80"/>
    </row>
    <row r="393">
      <c r="A393" s="79"/>
      <c r="B393" s="48"/>
      <c r="E393" s="80"/>
    </row>
    <row r="394">
      <c r="A394" s="79"/>
      <c r="B394" s="48"/>
      <c r="E394" s="80"/>
    </row>
    <row r="395">
      <c r="A395" s="79"/>
      <c r="B395" s="48"/>
      <c r="E395" s="80"/>
    </row>
    <row r="396">
      <c r="A396" s="79"/>
      <c r="B396" s="48"/>
      <c r="E396" s="80"/>
    </row>
    <row r="397">
      <c r="A397" s="79"/>
      <c r="B397" s="48"/>
      <c r="E397" s="80"/>
    </row>
    <row r="398">
      <c r="A398" s="79"/>
      <c r="B398" s="48"/>
      <c r="E398" s="80"/>
    </row>
    <row r="399">
      <c r="A399" s="79"/>
      <c r="B399" s="48"/>
      <c r="E399" s="80"/>
    </row>
    <row r="400">
      <c r="A400" s="79"/>
      <c r="B400" s="48"/>
      <c r="E400" s="80"/>
    </row>
    <row r="401">
      <c r="A401" s="79"/>
      <c r="B401" s="48"/>
      <c r="E401" s="80"/>
    </row>
    <row r="402">
      <c r="A402" s="79"/>
      <c r="B402" s="48"/>
      <c r="E402" s="80"/>
    </row>
    <row r="403">
      <c r="A403" s="79"/>
      <c r="B403" s="48"/>
      <c r="E403" s="80"/>
    </row>
    <row r="404">
      <c r="A404" s="79"/>
      <c r="B404" s="48"/>
      <c r="E404" s="80"/>
    </row>
    <row r="405">
      <c r="A405" s="79"/>
      <c r="B405" s="48"/>
      <c r="E405" s="80"/>
    </row>
    <row r="406">
      <c r="A406" s="79"/>
      <c r="B406" s="48"/>
      <c r="E406" s="80"/>
    </row>
    <row r="407">
      <c r="A407" s="79"/>
      <c r="B407" s="48"/>
      <c r="E407" s="80"/>
    </row>
    <row r="408">
      <c r="A408" s="79"/>
      <c r="B408" s="48"/>
      <c r="E408" s="80"/>
    </row>
    <row r="409">
      <c r="A409" s="79"/>
      <c r="B409" s="48"/>
      <c r="E409" s="80"/>
    </row>
    <row r="410">
      <c r="A410" s="79"/>
      <c r="B410" s="48"/>
      <c r="E410" s="80"/>
    </row>
    <row r="411">
      <c r="A411" s="79"/>
      <c r="B411" s="48"/>
      <c r="E411" s="80"/>
    </row>
    <row r="412">
      <c r="A412" s="79"/>
      <c r="B412" s="48"/>
      <c r="E412" s="80"/>
    </row>
    <row r="413">
      <c r="A413" s="79"/>
      <c r="B413" s="48"/>
      <c r="E413" s="80"/>
    </row>
    <row r="414">
      <c r="A414" s="79"/>
      <c r="B414" s="48"/>
      <c r="E414" s="80"/>
    </row>
    <row r="415">
      <c r="A415" s="79"/>
      <c r="B415" s="48"/>
      <c r="E415" s="80"/>
    </row>
    <row r="416">
      <c r="A416" s="79"/>
      <c r="B416" s="48"/>
      <c r="E416" s="80"/>
    </row>
    <row r="417">
      <c r="A417" s="79"/>
      <c r="B417" s="48"/>
      <c r="E417" s="80"/>
    </row>
    <row r="418">
      <c r="A418" s="79"/>
      <c r="B418" s="48"/>
      <c r="E418" s="80"/>
    </row>
    <row r="419">
      <c r="A419" s="79"/>
      <c r="B419" s="48"/>
      <c r="E419" s="80"/>
    </row>
    <row r="420">
      <c r="A420" s="79"/>
      <c r="B420" s="48"/>
      <c r="E420" s="80"/>
    </row>
    <row r="421">
      <c r="A421" s="79"/>
      <c r="B421" s="48"/>
      <c r="E421" s="80"/>
    </row>
    <row r="422">
      <c r="A422" s="79"/>
      <c r="B422" s="48"/>
      <c r="E422" s="80"/>
    </row>
    <row r="423">
      <c r="A423" s="79"/>
      <c r="B423" s="48"/>
      <c r="E423" s="80"/>
    </row>
    <row r="424">
      <c r="A424" s="79"/>
      <c r="B424" s="48"/>
      <c r="E424" s="80"/>
    </row>
    <row r="425">
      <c r="A425" s="79"/>
      <c r="B425" s="48"/>
      <c r="E425" s="80"/>
    </row>
    <row r="426">
      <c r="A426" s="79"/>
      <c r="B426" s="48"/>
      <c r="E426" s="80"/>
    </row>
    <row r="427">
      <c r="A427" s="79"/>
      <c r="B427" s="48"/>
      <c r="E427" s="80"/>
    </row>
    <row r="428">
      <c r="A428" s="79"/>
      <c r="B428" s="48"/>
      <c r="E428" s="80"/>
    </row>
    <row r="429">
      <c r="A429" s="79"/>
      <c r="B429" s="48"/>
      <c r="E429" s="80"/>
    </row>
    <row r="430">
      <c r="A430" s="79"/>
      <c r="B430" s="48"/>
      <c r="E430" s="80"/>
    </row>
    <row r="431">
      <c r="A431" s="79"/>
      <c r="B431" s="48"/>
      <c r="E431" s="80"/>
    </row>
    <row r="432">
      <c r="A432" s="79"/>
      <c r="B432" s="48"/>
      <c r="E432" s="80"/>
    </row>
    <row r="433">
      <c r="A433" s="79"/>
      <c r="B433" s="48"/>
      <c r="E433" s="80"/>
    </row>
    <row r="434">
      <c r="A434" s="79"/>
      <c r="B434" s="48"/>
      <c r="E434" s="80"/>
    </row>
    <row r="435">
      <c r="A435" s="79"/>
      <c r="B435" s="48"/>
      <c r="E435" s="80"/>
    </row>
    <row r="436">
      <c r="A436" s="79"/>
      <c r="B436" s="48"/>
      <c r="E436" s="80"/>
    </row>
    <row r="437">
      <c r="A437" s="79"/>
      <c r="B437" s="48"/>
      <c r="E437" s="80"/>
    </row>
    <row r="438">
      <c r="A438" s="79"/>
      <c r="B438" s="48"/>
      <c r="E438" s="80"/>
    </row>
    <row r="439">
      <c r="A439" s="79"/>
      <c r="B439" s="48"/>
      <c r="E439" s="80"/>
    </row>
    <row r="440">
      <c r="A440" s="79"/>
      <c r="B440" s="48"/>
      <c r="E440" s="80"/>
    </row>
    <row r="441">
      <c r="A441" s="79"/>
      <c r="B441" s="48"/>
      <c r="E441" s="80"/>
    </row>
    <row r="442">
      <c r="A442" s="79"/>
      <c r="B442" s="48"/>
      <c r="E442" s="80"/>
    </row>
    <row r="443">
      <c r="A443" s="79"/>
      <c r="B443" s="48"/>
      <c r="E443" s="80"/>
    </row>
    <row r="444">
      <c r="A444" s="79"/>
      <c r="B444" s="48"/>
      <c r="E444" s="80"/>
    </row>
    <row r="445">
      <c r="A445" s="79"/>
      <c r="B445" s="48"/>
      <c r="E445" s="80"/>
    </row>
    <row r="446">
      <c r="A446" s="79"/>
      <c r="B446" s="48"/>
      <c r="E446" s="80"/>
    </row>
    <row r="447">
      <c r="A447" s="79"/>
      <c r="B447" s="48"/>
      <c r="E447" s="80"/>
    </row>
    <row r="448">
      <c r="A448" s="79"/>
      <c r="B448" s="48"/>
      <c r="E448" s="80"/>
    </row>
    <row r="449">
      <c r="A449" s="79"/>
      <c r="B449" s="48"/>
      <c r="E449" s="80"/>
    </row>
    <row r="450">
      <c r="A450" s="79"/>
      <c r="B450" s="48"/>
      <c r="E450" s="80"/>
    </row>
    <row r="451">
      <c r="A451" s="79"/>
      <c r="B451" s="48"/>
      <c r="E451" s="80"/>
    </row>
    <row r="452">
      <c r="A452" s="79"/>
      <c r="B452" s="48"/>
      <c r="E452" s="80"/>
    </row>
    <row r="453">
      <c r="A453" s="79"/>
      <c r="B453" s="48"/>
      <c r="E453" s="80"/>
    </row>
    <row r="454">
      <c r="A454" s="79"/>
      <c r="B454" s="48"/>
      <c r="E454" s="80"/>
    </row>
    <row r="455">
      <c r="A455" s="79"/>
      <c r="B455" s="48"/>
      <c r="E455" s="80"/>
    </row>
    <row r="456">
      <c r="A456" s="79"/>
      <c r="B456" s="48"/>
      <c r="E456" s="80"/>
    </row>
    <row r="457">
      <c r="A457" s="79"/>
      <c r="B457" s="48"/>
      <c r="E457" s="80"/>
    </row>
    <row r="458">
      <c r="A458" s="79"/>
      <c r="B458" s="48"/>
      <c r="E458" s="80"/>
    </row>
    <row r="459">
      <c r="A459" s="79"/>
      <c r="B459" s="48"/>
      <c r="E459" s="80"/>
    </row>
    <row r="460">
      <c r="A460" s="79"/>
      <c r="B460" s="48"/>
      <c r="E460" s="80"/>
    </row>
    <row r="461">
      <c r="A461" s="79"/>
      <c r="B461" s="48"/>
      <c r="E461" s="80"/>
    </row>
    <row r="462">
      <c r="A462" s="79"/>
      <c r="B462" s="48"/>
      <c r="E462" s="80"/>
    </row>
    <row r="463">
      <c r="A463" s="79"/>
      <c r="B463" s="48"/>
      <c r="E463" s="80"/>
    </row>
    <row r="464">
      <c r="A464" s="79"/>
      <c r="B464" s="48"/>
      <c r="E464" s="80"/>
    </row>
    <row r="465">
      <c r="A465" s="79"/>
      <c r="B465" s="48"/>
      <c r="E465" s="80"/>
    </row>
    <row r="466">
      <c r="A466" s="79"/>
      <c r="B466" s="48"/>
      <c r="E466" s="80"/>
    </row>
    <row r="467">
      <c r="A467" s="79"/>
      <c r="B467" s="48"/>
      <c r="E467" s="80"/>
    </row>
    <row r="468">
      <c r="A468" s="79"/>
      <c r="B468" s="48"/>
      <c r="E468" s="80"/>
    </row>
    <row r="469">
      <c r="A469" s="79"/>
      <c r="B469" s="48"/>
      <c r="E469" s="80"/>
    </row>
    <row r="470">
      <c r="A470" s="79"/>
      <c r="B470" s="48"/>
      <c r="E470" s="80"/>
    </row>
    <row r="471">
      <c r="A471" s="79"/>
      <c r="B471" s="48"/>
      <c r="E471" s="80"/>
    </row>
    <row r="472">
      <c r="A472" s="79"/>
      <c r="B472" s="48"/>
      <c r="E472" s="80"/>
    </row>
    <row r="473">
      <c r="A473" s="79"/>
      <c r="B473" s="48"/>
      <c r="E473" s="80"/>
    </row>
    <row r="474">
      <c r="A474" s="79"/>
      <c r="B474" s="48"/>
      <c r="E474" s="80"/>
    </row>
    <row r="475">
      <c r="A475" s="79"/>
      <c r="B475" s="48"/>
      <c r="E475" s="80"/>
    </row>
    <row r="476">
      <c r="A476" s="79"/>
      <c r="B476" s="48"/>
      <c r="E476" s="80"/>
    </row>
    <row r="477">
      <c r="A477" s="79"/>
      <c r="B477" s="48"/>
      <c r="E477" s="80"/>
    </row>
    <row r="478">
      <c r="A478" s="79"/>
      <c r="B478" s="48"/>
      <c r="E478" s="80"/>
    </row>
    <row r="479">
      <c r="A479" s="79"/>
      <c r="B479" s="48"/>
      <c r="E479" s="80"/>
    </row>
    <row r="480">
      <c r="A480" s="79"/>
      <c r="B480" s="48"/>
      <c r="E480" s="80"/>
    </row>
    <row r="481">
      <c r="A481" s="79"/>
      <c r="B481" s="48"/>
      <c r="E481" s="80"/>
    </row>
    <row r="482">
      <c r="A482" s="79"/>
      <c r="B482" s="48"/>
      <c r="E482" s="80"/>
    </row>
    <row r="483">
      <c r="A483" s="79"/>
      <c r="B483" s="48"/>
      <c r="E483" s="80"/>
    </row>
    <row r="484">
      <c r="A484" s="79"/>
      <c r="B484" s="48"/>
      <c r="E484" s="80"/>
    </row>
    <row r="485">
      <c r="A485" s="79"/>
      <c r="B485" s="48"/>
      <c r="E485" s="80"/>
    </row>
    <row r="486">
      <c r="A486" s="79"/>
      <c r="B486" s="48"/>
      <c r="E486" s="80"/>
    </row>
    <row r="487">
      <c r="A487" s="79"/>
      <c r="B487" s="48"/>
      <c r="E487" s="80"/>
    </row>
    <row r="488">
      <c r="A488" s="79"/>
      <c r="B488" s="48"/>
      <c r="E488" s="80"/>
    </row>
    <row r="489">
      <c r="A489" s="79"/>
      <c r="B489" s="48"/>
      <c r="E489" s="80"/>
    </row>
    <row r="490">
      <c r="A490" s="79"/>
      <c r="B490" s="48"/>
      <c r="E490" s="80"/>
    </row>
    <row r="491">
      <c r="A491" s="79"/>
      <c r="B491" s="48"/>
      <c r="E491" s="80"/>
    </row>
    <row r="492">
      <c r="A492" s="79"/>
      <c r="B492" s="48"/>
      <c r="E492" s="80"/>
    </row>
    <row r="493">
      <c r="A493" s="79"/>
      <c r="B493" s="48"/>
      <c r="E493" s="80"/>
    </row>
    <row r="494">
      <c r="A494" s="79"/>
      <c r="B494" s="48"/>
      <c r="E494" s="80"/>
    </row>
    <row r="495">
      <c r="A495" s="79"/>
      <c r="B495" s="48"/>
      <c r="E495" s="80"/>
    </row>
    <row r="496">
      <c r="A496" s="79"/>
      <c r="B496" s="48"/>
      <c r="E496" s="80"/>
    </row>
    <row r="497">
      <c r="A497" s="79"/>
      <c r="B497" s="48"/>
      <c r="E497" s="80"/>
    </row>
    <row r="498">
      <c r="A498" s="79"/>
      <c r="B498" s="48"/>
      <c r="E498" s="80"/>
    </row>
    <row r="499">
      <c r="A499" s="79"/>
      <c r="B499" s="48"/>
      <c r="E499" s="80"/>
    </row>
    <row r="500">
      <c r="A500" s="79"/>
      <c r="B500" s="48"/>
      <c r="E500" s="80"/>
    </row>
    <row r="501">
      <c r="A501" s="79"/>
      <c r="B501" s="48"/>
      <c r="E501" s="80"/>
    </row>
    <row r="502">
      <c r="A502" s="79"/>
      <c r="B502" s="48"/>
      <c r="E502" s="80"/>
    </row>
    <row r="503">
      <c r="A503" s="79"/>
      <c r="B503" s="48"/>
      <c r="E503" s="80"/>
    </row>
    <row r="504">
      <c r="A504" s="79"/>
      <c r="B504" s="48"/>
      <c r="E504" s="80"/>
    </row>
    <row r="505">
      <c r="A505" s="79"/>
      <c r="B505" s="48"/>
      <c r="E505" s="80"/>
    </row>
    <row r="506">
      <c r="A506" s="79"/>
      <c r="B506" s="48"/>
      <c r="E506" s="80"/>
    </row>
    <row r="507">
      <c r="A507" s="79"/>
      <c r="B507" s="48"/>
      <c r="E507" s="80"/>
    </row>
    <row r="508">
      <c r="A508" s="79"/>
      <c r="B508" s="48"/>
      <c r="E508" s="80"/>
    </row>
    <row r="509">
      <c r="A509" s="79"/>
      <c r="B509" s="48"/>
      <c r="E509" s="80"/>
    </row>
    <row r="510">
      <c r="A510" s="79"/>
      <c r="B510" s="48"/>
      <c r="E510" s="80"/>
    </row>
    <row r="511">
      <c r="A511" s="79"/>
      <c r="B511" s="48"/>
      <c r="E511" s="80"/>
    </row>
    <row r="512">
      <c r="A512" s="79"/>
      <c r="B512" s="48"/>
      <c r="E512" s="80"/>
    </row>
    <row r="513">
      <c r="A513" s="79"/>
      <c r="B513" s="48"/>
      <c r="E513" s="80"/>
    </row>
    <row r="514">
      <c r="A514" s="79"/>
      <c r="B514" s="48"/>
      <c r="E514" s="80"/>
    </row>
    <row r="515">
      <c r="A515" s="79"/>
      <c r="B515" s="48"/>
      <c r="E515" s="80"/>
    </row>
    <row r="516">
      <c r="A516" s="79"/>
      <c r="B516" s="48"/>
      <c r="E516" s="80"/>
    </row>
    <row r="517">
      <c r="A517" s="79"/>
      <c r="B517" s="48"/>
      <c r="E517" s="80"/>
    </row>
    <row r="518">
      <c r="A518" s="79"/>
      <c r="B518" s="48"/>
      <c r="E518" s="80"/>
    </row>
    <row r="519">
      <c r="A519" s="79"/>
      <c r="B519" s="48"/>
      <c r="E519" s="80"/>
    </row>
    <row r="520">
      <c r="A520" s="79"/>
      <c r="B520" s="48"/>
      <c r="E520" s="80"/>
    </row>
    <row r="521">
      <c r="A521" s="79"/>
      <c r="B521" s="48"/>
      <c r="E521" s="80"/>
    </row>
    <row r="522">
      <c r="A522" s="79"/>
      <c r="B522" s="48"/>
      <c r="E522" s="80"/>
    </row>
    <row r="523">
      <c r="A523" s="79"/>
      <c r="B523" s="48"/>
      <c r="E523" s="80"/>
    </row>
    <row r="524">
      <c r="A524" s="79"/>
      <c r="B524" s="48"/>
      <c r="E524" s="80"/>
    </row>
    <row r="525">
      <c r="A525" s="79"/>
      <c r="B525" s="48"/>
      <c r="E525" s="80"/>
    </row>
    <row r="526">
      <c r="A526" s="79"/>
      <c r="B526" s="48"/>
      <c r="E526" s="80"/>
    </row>
    <row r="527">
      <c r="A527" s="79"/>
      <c r="B527" s="48"/>
      <c r="E527" s="80"/>
    </row>
    <row r="528">
      <c r="A528" s="79"/>
      <c r="B528" s="48"/>
      <c r="E528" s="80"/>
    </row>
    <row r="529">
      <c r="A529" s="79"/>
      <c r="B529" s="48"/>
      <c r="E529" s="80"/>
    </row>
    <row r="530">
      <c r="A530" s="79"/>
      <c r="B530" s="48"/>
      <c r="E530" s="80"/>
    </row>
    <row r="531">
      <c r="A531" s="79"/>
      <c r="B531" s="48"/>
      <c r="E531" s="80"/>
    </row>
    <row r="532">
      <c r="A532" s="79"/>
      <c r="B532" s="48"/>
      <c r="E532" s="80"/>
    </row>
    <row r="533">
      <c r="A533" s="79"/>
      <c r="B533" s="48"/>
      <c r="E533" s="80"/>
    </row>
    <row r="534">
      <c r="A534" s="79"/>
      <c r="B534" s="48"/>
      <c r="E534" s="80"/>
    </row>
    <row r="535">
      <c r="A535" s="79"/>
      <c r="B535" s="48"/>
      <c r="E535" s="80"/>
    </row>
    <row r="536">
      <c r="A536" s="79"/>
      <c r="B536" s="48"/>
      <c r="E536" s="80"/>
    </row>
    <row r="537">
      <c r="A537" s="79"/>
      <c r="B537" s="48"/>
      <c r="E537" s="80"/>
    </row>
    <row r="538">
      <c r="A538" s="79"/>
      <c r="B538" s="48"/>
      <c r="E538" s="80"/>
    </row>
    <row r="539">
      <c r="A539" s="79"/>
      <c r="B539" s="48"/>
      <c r="E539" s="80"/>
    </row>
    <row r="540">
      <c r="A540" s="79"/>
      <c r="B540" s="48"/>
      <c r="E540" s="80"/>
    </row>
    <row r="541">
      <c r="A541" s="79"/>
      <c r="B541" s="48"/>
      <c r="E541" s="80"/>
    </row>
    <row r="542">
      <c r="A542" s="79"/>
      <c r="B542" s="48"/>
      <c r="E542" s="80"/>
    </row>
    <row r="543">
      <c r="A543" s="79"/>
      <c r="B543" s="48"/>
      <c r="E543" s="80"/>
    </row>
    <row r="544">
      <c r="A544" s="79"/>
      <c r="B544" s="48"/>
      <c r="E544" s="80"/>
    </row>
    <row r="545">
      <c r="A545" s="79"/>
      <c r="B545" s="48"/>
      <c r="E545" s="80"/>
    </row>
    <row r="546">
      <c r="A546" s="79"/>
      <c r="B546" s="48"/>
      <c r="E546" s="80"/>
    </row>
    <row r="547">
      <c r="A547" s="79"/>
      <c r="B547" s="48"/>
      <c r="E547" s="80"/>
    </row>
    <row r="548">
      <c r="A548" s="79"/>
      <c r="B548" s="48"/>
      <c r="E548" s="80"/>
    </row>
    <row r="549">
      <c r="A549" s="79"/>
      <c r="B549" s="48"/>
      <c r="E549" s="80"/>
    </row>
    <row r="550">
      <c r="A550" s="79"/>
      <c r="B550" s="48"/>
      <c r="E550" s="80"/>
    </row>
    <row r="551">
      <c r="A551" s="79"/>
      <c r="B551" s="48"/>
      <c r="E551" s="80"/>
    </row>
    <row r="552">
      <c r="A552" s="79"/>
      <c r="B552" s="48"/>
      <c r="E552" s="80"/>
    </row>
    <row r="553">
      <c r="A553" s="79"/>
      <c r="B553" s="48"/>
      <c r="E553" s="80"/>
    </row>
    <row r="554">
      <c r="A554" s="79"/>
      <c r="B554" s="48"/>
      <c r="E554" s="80"/>
    </row>
    <row r="555">
      <c r="A555" s="79"/>
      <c r="B555" s="48"/>
      <c r="E555" s="80"/>
    </row>
    <row r="556">
      <c r="A556" s="79"/>
      <c r="B556" s="48"/>
      <c r="E556" s="80"/>
    </row>
    <row r="557">
      <c r="A557" s="79"/>
      <c r="B557" s="48"/>
      <c r="E557" s="80"/>
    </row>
    <row r="558">
      <c r="A558" s="79"/>
      <c r="B558" s="48"/>
      <c r="E558" s="80"/>
    </row>
    <row r="559">
      <c r="A559" s="79"/>
      <c r="B559" s="48"/>
      <c r="E559" s="80"/>
    </row>
    <row r="560">
      <c r="A560" s="79"/>
      <c r="B560" s="48"/>
      <c r="E560" s="80"/>
    </row>
    <row r="561">
      <c r="A561" s="79"/>
      <c r="B561" s="48"/>
      <c r="E561" s="80"/>
    </row>
    <row r="562">
      <c r="A562" s="79"/>
      <c r="B562" s="48"/>
      <c r="E562" s="80"/>
    </row>
    <row r="563">
      <c r="A563" s="79"/>
      <c r="B563" s="48"/>
      <c r="E563" s="80"/>
    </row>
    <row r="564">
      <c r="A564" s="79"/>
      <c r="B564" s="48"/>
      <c r="E564" s="80"/>
    </row>
    <row r="565">
      <c r="A565" s="79"/>
      <c r="B565" s="48"/>
      <c r="E565" s="80"/>
    </row>
    <row r="566">
      <c r="A566" s="79"/>
      <c r="B566" s="48"/>
      <c r="E566" s="80"/>
    </row>
    <row r="567">
      <c r="A567" s="79"/>
      <c r="B567" s="48"/>
      <c r="E567" s="80"/>
    </row>
    <row r="568">
      <c r="A568" s="79"/>
      <c r="B568" s="48"/>
      <c r="E568" s="80"/>
    </row>
    <row r="569">
      <c r="A569" s="79"/>
      <c r="B569" s="48"/>
      <c r="E569" s="80"/>
    </row>
    <row r="570">
      <c r="A570" s="79"/>
      <c r="B570" s="48"/>
      <c r="E570" s="80"/>
    </row>
    <row r="571">
      <c r="A571" s="79"/>
      <c r="B571" s="48"/>
      <c r="E571" s="80"/>
    </row>
    <row r="572">
      <c r="A572" s="79"/>
      <c r="B572" s="48"/>
      <c r="E572" s="80"/>
    </row>
    <row r="573">
      <c r="A573" s="79"/>
      <c r="B573" s="48"/>
      <c r="E573" s="80"/>
    </row>
    <row r="574">
      <c r="A574" s="79"/>
      <c r="B574" s="48"/>
      <c r="E574" s="80"/>
    </row>
    <row r="575">
      <c r="A575" s="79"/>
      <c r="B575" s="48"/>
      <c r="E575" s="80"/>
    </row>
    <row r="576">
      <c r="A576" s="79"/>
      <c r="B576" s="48"/>
      <c r="E576" s="80"/>
    </row>
    <row r="577">
      <c r="A577" s="79"/>
      <c r="B577" s="48"/>
      <c r="E577" s="80"/>
    </row>
    <row r="578">
      <c r="A578" s="79"/>
      <c r="B578" s="48"/>
      <c r="E578" s="80"/>
    </row>
    <row r="579">
      <c r="A579" s="79"/>
      <c r="B579" s="48"/>
      <c r="E579" s="80"/>
    </row>
    <row r="580">
      <c r="A580" s="79"/>
      <c r="B580" s="48"/>
      <c r="E580" s="80"/>
    </row>
    <row r="581">
      <c r="A581" s="79"/>
      <c r="B581" s="48"/>
      <c r="E581" s="80"/>
    </row>
    <row r="582">
      <c r="A582" s="79"/>
      <c r="B582" s="48"/>
      <c r="E582" s="80"/>
    </row>
    <row r="583">
      <c r="A583" s="79"/>
      <c r="B583" s="48"/>
      <c r="E583" s="80"/>
    </row>
    <row r="584">
      <c r="A584" s="79"/>
      <c r="B584" s="48"/>
      <c r="E584" s="80"/>
    </row>
    <row r="585">
      <c r="A585" s="79"/>
      <c r="B585" s="48"/>
      <c r="E585" s="80"/>
    </row>
    <row r="586">
      <c r="A586" s="79"/>
      <c r="B586" s="48"/>
      <c r="E586" s="80"/>
    </row>
    <row r="587">
      <c r="A587" s="79"/>
      <c r="B587" s="48"/>
      <c r="E587" s="80"/>
    </row>
    <row r="588">
      <c r="A588" s="79"/>
      <c r="B588" s="48"/>
      <c r="E588" s="80"/>
    </row>
    <row r="589">
      <c r="A589" s="79"/>
      <c r="B589" s="48"/>
      <c r="E589" s="80"/>
    </row>
    <row r="590">
      <c r="A590" s="79"/>
      <c r="B590" s="48"/>
      <c r="E590" s="80"/>
    </row>
    <row r="591">
      <c r="A591" s="79"/>
      <c r="B591" s="48"/>
      <c r="E591" s="80"/>
    </row>
    <row r="592">
      <c r="A592" s="79"/>
      <c r="B592" s="48"/>
      <c r="E592" s="80"/>
    </row>
    <row r="593">
      <c r="A593" s="79"/>
      <c r="B593" s="48"/>
      <c r="E593" s="80"/>
    </row>
    <row r="594">
      <c r="A594" s="79"/>
      <c r="B594" s="48"/>
      <c r="E594" s="80"/>
    </row>
    <row r="595">
      <c r="A595" s="79"/>
      <c r="B595" s="48"/>
      <c r="E595" s="80"/>
    </row>
    <row r="596">
      <c r="A596" s="79"/>
      <c r="B596" s="48"/>
      <c r="E596" s="80"/>
    </row>
    <row r="597">
      <c r="A597" s="79"/>
      <c r="B597" s="48"/>
      <c r="E597" s="80"/>
    </row>
    <row r="598">
      <c r="A598" s="79"/>
      <c r="B598" s="48"/>
      <c r="E598" s="80"/>
    </row>
    <row r="599">
      <c r="A599" s="79"/>
      <c r="B599" s="48"/>
      <c r="E599" s="80"/>
    </row>
    <row r="600">
      <c r="A600" s="79"/>
      <c r="B600" s="48"/>
      <c r="E600" s="80"/>
    </row>
    <row r="601">
      <c r="A601" s="79"/>
      <c r="B601" s="48"/>
      <c r="E601" s="80"/>
    </row>
    <row r="602">
      <c r="A602" s="79"/>
      <c r="B602" s="48"/>
      <c r="E602" s="80"/>
    </row>
    <row r="603">
      <c r="A603" s="79"/>
      <c r="B603" s="48"/>
      <c r="E603" s="80"/>
    </row>
    <row r="604">
      <c r="A604" s="79"/>
      <c r="B604" s="48"/>
      <c r="E604" s="80"/>
    </row>
    <row r="605">
      <c r="A605" s="79"/>
      <c r="B605" s="48"/>
      <c r="E605" s="80"/>
    </row>
    <row r="606">
      <c r="A606" s="79"/>
      <c r="B606" s="48"/>
      <c r="E606" s="80"/>
    </row>
    <row r="607">
      <c r="A607" s="79"/>
      <c r="B607" s="48"/>
      <c r="E607" s="80"/>
    </row>
    <row r="608">
      <c r="A608" s="79"/>
      <c r="B608" s="48"/>
      <c r="E608" s="80"/>
    </row>
    <row r="609">
      <c r="A609" s="79"/>
      <c r="B609" s="48"/>
      <c r="E609" s="80"/>
    </row>
    <row r="610">
      <c r="A610" s="79"/>
      <c r="B610" s="48"/>
      <c r="E610" s="80"/>
    </row>
    <row r="611">
      <c r="A611" s="79"/>
      <c r="B611" s="48"/>
      <c r="E611" s="80"/>
    </row>
    <row r="612">
      <c r="A612" s="79"/>
      <c r="B612" s="48"/>
      <c r="E612" s="80"/>
    </row>
    <row r="613">
      <c r="A613" s="79"/>
      <c r="B613" s="48"/>
      <c r="E613" s="80"/>
    </row>
    <row r="614">
      <c r="A614" s="79"/>
      <c r="B614" s="48"/>
      <c r="E614" s="80"/>
    </row>
    <row r="615">
      <c r="A615" s="79"/>
      <c r="B615" s="48"/>
      <c r="E615" s="80"/>
    </row>
    <row r="616">
      <c r="A616" s="79"/>
      <c r="B616" s="48"/>
      <c r="E616" s="80"/>
    </row>
    <row r="617">
      <c r="A617" s="79"/>
      <c r="B617" s="48"/>
      <c r="E617" s="80"/>
    </row>
    <row r="618">
      <c r="A618" s="79"/>
      <c r="B618" s="48"/>
      <c r="E618" s="80"/>
    </row>
    <row r="619">
      <c r="A619" s="79"/>
      <c r="B619" s="48"/>
      <c r="E619" s="80"/>
    </row>
    <row r="620">
      <c r="A620" s="79"/>
      <c r="B620" s="48"/>
      <c r="E620" s="80"/>
    </row>
    <row r="621">
      <c r="A621" s="79"/>
      <c r="B621" s="48"/>
      <c r="E621" s="80"/>
    </row>
    <row r="622">
      <c r="A622" s="79"/>
      <c r="B622" s="48"/>
      <c r="E622" s="80"/>
    </row>
    <row r="623">
      <c r="A623" s="79"/>
      <c r="B623" s="48"/>
      <c r="E623" s="80"/>
    </row>
    <row r="624">
      <c r="A624" s="79"/>
      <c r="B624" s="48"/>
      <c r="E624" s="80"/>
    </row>
    <row r="625">
      <c r="A625" s="79"/>
      <c r="B625" s="48"/>
      <c r="E625" s="80"/>
    </row>
    <row r="626">
      <c r="A626" s="79"/>
      <c r="B626" s="48"/>
      <c r="E626" s="80"/>
    </row>
    <row r="627">
      <c r="A627" s="79"/>
      <c r="B627" s="48"/>
      <c r="E627" s="80"/>
    </row>
    <row r="628">
      <c r="A628" s="79"/>
      <c r="B628" s="48"/>
      <c r="E628" s="80"/>
    </row>
    <row r="629">
      <c r="A629" s="79"/>
      <c r="B629" s="48"/>
      <c r="E629" s="80"/>
    </row>
    <row r="630">
      <c r="A630" s="79"/>
      <c r="B630" s="48"/>
      <c r="E630" s="80"/>
    </row>
    <row r="631">
      <c r="A631" s="79"/>
      <c r="B631" s="48"/>
      <c r="E631" s="80"/>
    </row>
    <row r="632">
      <c r="A632" s="79"/>
      <c r="B632" s="48"/>
      <c r="E632" s="80"/>
    </row>
    <row r="633">
      <c r="A633" s="79"/>
      <c r="B633" s="48"/>
      <c r="E633" s="80"/>
    </row>
    <row r="634">
      <c r="A634" s="79"/>
      <c r="B634" s="48"/>
      <c r="E634" s="80"/>
    </row>
    <row r="635">
      <c r="A635" s="79"/>
      <c r="B635" s="48"/>
      <c r="E635" s="80"/>
    </row>
    <row r="636">
      <c r="A636" s="79"/>
      <c r="B636" s="48"/>
      <c r="E636" s="80"/>
    </row>
    <row r="637">
      <c r="A637" s="79"/>
      <c r="B637" s="48"/>
      <c r="E637" s="80"/>
    </row>
    <row r="638">
      <c r="A638" s="79"/>
      <c r="B638" s="48"/>
      <c r="E638" s="80"/>
    </row>
    <row r="639">
      <c r="A639" s="79"/>
      <c r="B639" s="48"/>
      <c r="E639" s="80"/>
    </row>
    <row r="640">
      <c r="A640" s="79"/>
      <c r="B640" s="48"/>
      <c r="E640" s="80"/>
    </row>
    <row r="641">
      <c r="A641" s="79"/>
      <c r="B641" s="48"/>
      <c r="E641" s="80"/>
    </row>
    <row r="642">
      <c r="A642" s="79"/>
      <c r="B642" s="48"/>
      <c r="E642" s="80"/>
    </row>
    <row r="643">
      <c r="A643" s="79"/>
      <c r="B643" s="48"/>
      <c r="E643" s="80"/>
    </row>
    <row r="644">
      <c r="A644" s="79"/>
      <c r="B644" s="48"/>
      <c r="E644" s="80"/>
    </row>
    <row r="645">
      <c r="A645" s="79"/>
      <c r="B645" s="48"/>
      <c r="E645" s="80"/>
    </row>
    <row r="646">
      <c r="A646" s="79"/>
      <c r="B646" s="48"/>
      <c r="E646" s="80"/>
    </row>
    <row r="647">
      <c r="A647" s="79"/>
      <c r="B647" s="48"/>
      <c r="E647" s="80"/>
    </row>
    <row r="648">
      <c r="A648" s="79"/>
      <c r="B648" s="48"/>
      <c r="E648" s="80"/>
    </row>
    <row r="649">
      <c r="A649" s="79"/>
      <c r="B649" s="48"/>
      <c r="E649" s="80"/>
    </row>
    <row r="650">
      <c r="A650" s="79"/>
      <c r="B650" s="48"/>
      <c r="E650" s="80"/>
    </row>
    <row r="651">
      <c r="A651" s="79"/>
      <c r="B651" s="48"/>
      <c r="E651" s="80"/>
    </row>
    <row r="652">
      <c r="A652" s="79"/>
      <c r="B652" s="48"/>
      <c r="E652" s="80"/>
    </row>
    <row r="653">
      <c r="A653" s="79"/>
      <c r="B653" s="48"/>
      <c r="E653" s="80"/>
    </row>
    <row r="654">
      <c r="A654" s="79"/>
      <c r="B654" s="48"/>
      <c r="E654" s="80"/>
    </row>
    <row r="655">
      <c r="A655" s="79"/>
      <c r="B655" s="48"/>
      <c r="E655" s="80"/>
    </row>
    <row r="656">
      <c r="A656" s="79"/>
      <c r="B656" s="48"/>
      <c r="E656" s="80"/>
    </row>
    <row r="657">
      <c r="A657" s="79"/>
      <c r="B657" s="48"/>
      <c r="E657" s="80"/>
    </row>
    <row r="658">
      <c r="A658" s="79"/>
      <c r="B658" s="48"/>
      <c r="E658" s="80"/>
    </row>
    <row r="659">
      <c r="A659" s="79"/>
      <c r="B659" s="48"/>
      <c r="E659" s="80"/>
    </row>
    <row r="660">
      <c r="A660" s="79"/>
      <c r="B660" s="48"/>
      <c r="E660" s="80"/>
    </row>
    <row r="661">
      <c r="A661" s="79"/>
      <c r="B661" s="48"/>
      <c r="E661" s="80"/>
    </row>
    <row r="662">
      <c r="A662" s="79"/>
      <c r="B662" s="48"/>
      <c r="E662" s="80"/>
    </row>
    <row r="663">
      <c r="A663" s="79"/>
      <c r="B663" s="48"/>
      <c r="E663" s="80"/>
    </row>
    <row r="664">
      <c r="A664" s="79"/>
      <c r="B664" s="48"/>
      <c r="E664" s="80"/>
    </row>
    <row r="665">
      <c r="A665" s="79"/>
      <c r="B665" s="48"/>
      <c r="E665" s="80"/>
    </row>
    <row r="666">
      <c r="A666" s="79"/>
      <c r="B666" s="48"/>
      <c r="E666" s="80"/>
    </row>
    <row r="667">
      <c r="A667" s="79"/>
      <c r="B667" s="48"/>
      <c r="E667" s="80"/>
    </row>
    <row r="668">
      <c r="A668" s="79"/>
      <c r="B668" s="48"/>
      <c r="E668" s="80"/>
    </row>
    <row r="669">
      <c r="A669" s="79"/>
      <c r="B669" s="48"/>
      <c r="E669" s="80"/>
    </row>
    <row r="670">
      <c r="A670" s="79"/>
      <c r="B670" s="48"/>
      <c r="E670" s="80"/>
    </row>
    <row r="671">
      <c r="A671" s="79"/>
      <c r="B671" s="48"/>
      <c r="E671" s="80"/>
    </row>
    <row r="672">
      <c r="A672" s="79"/>
      <c r="B672" s="48"/>
      <c r="E672" s="80"/>
    </row>
    <row r="673">
      <c r="A673" s="79"/>
      <c r="B673" s="48"/>
      <c r="E673" s="80"/>
    </row>
    <row r="674">
      <c r="A674" s="79"/>
      <c r="B674" s="48"/>
      <c r="E674" s="80"/>
    </row>
    <row r="675">
      <c r="A675" s="79"/>
      <c r="B675" s="48"/>
      <c r="E675" s="80"/>
    </row>
    <row r="676">
      <c r="A676" s="79"/>
      <c r="B676" s="48"/>
      <c r="E676" s="80"/>
    </row>
    <row r="677">
      <c r="A677" s="79"/>
      <c r="B677" s="48"/>
      <c r="E677" s="80"/>
    </row>
    <row r="678">
      <c r="A678" s="79"/>
      <c r="B678" s="48"/>
      <c r="E678" s="80"/>
    </row>
    <row r="679">
      <c r="A679" s="79"/>
      <c r="B679" s="48"/>
      <c r="E679" s="80"/>
    </row>
    <row r="680">
      <c r="A680" s="79"/>
      <c r="B680" s="48"/>
      <c r="E680" s="80"/>
    </row>
    <row r="681">
      <c r="A681" s="79"/>
      <c r="B681" s="48"/>
      <c r="E681" s="80"/>
    </row>
    <row r="682">
      <c r="A682" s="79"/>
      <c r="B682" s="48"/>
      <c r="E682" s="80"/>
    </row>
    <row r="683">
      <c r="A683" s="79"/>
      <c r="B683" s="48"/>
      <c r="E683" s="80"/>
    </row>
    <row r="684">
      <c r="A684" s="79"/>
      <c r="B684" s="48"/>
      <c r="E684" s="80"/>
    </row>
    <row r="685">
      <c r="A685" s="79"/>
      <c r="B685" s="48"/>
      <c r="E685" s="80"/>
    </row>
    <row r="686">
      <c r="A686" s="79"/>
      <c r="B686" s="48"/>
      <c r="E686" s="80"/>
    </row>
    <row r="687">
      <c r="A687" s="79"/>
      <c r="B687" s="48"/>
      <c r="E687" s="80"/>
    </row>
    <row r="688">
      <c r="A688" s="79"/>
      <c r="B688" s="48"/>
      <c r="E688" s="80"/>
    </row>
    <row r="689">
      <c r="A689" s="79"/>
      <c r="B689" s="48"/>
      <c r="E689" s="80"/>
    </row>
    <row r="690">
      <c r="A690" s="79"/>
      <c r="B690" s="48"/>
      <c r="E690" s="80"/>
    </row>
    <row r="691">
      <c r="A691" s="79"/>
      <c r="B691" s="48"/>
      <c r="E691" s="80"/>
    </row>
    <row r="692">
      <c r="A692" s="79"/>
      <c r="B692" s="48"/>
      <c r="E692" s="80"/>
    </row>
    <row r="693">
      <c r="A693" s="79"/>
      <c r="B693" s="48"/>
      <c r="E693" s="80"/>
    </row>
    <row r="694">
      <c r="A694" s="79"/>
      <c r="B694" s="48"/>
      <c r="E694" s="80"/>
    </row>
    <row r="695">
      <c r="A695" s="79"/>
      <c r="B695" s="48"/>
      <c r="E695" s="80"/>
    </row>
    <row r="696">
      <c r="A696" s="79"/>
      <c r="B696" s="48"/>
      <c r="E696" s="80"/>
    </row>
    <row r="697">
      <c r="A697" s="79"/>
      <c r="B697" s="48"/>
      <c r="E697" s="80"/>
    </row>
    <row r="698">
      <c r="A698" s="79"/>
      <c r="B698" s="48"/>
      <c r="E698" s="80"/>
    </row>
    <row r="699">
      <c r="A699" s="79"/>
      <c r="B699" s="48"/>
      <c r="E699" s="80"/>
    </row>
    <row r="700">
      <c r="A700" s="79"/>
      <c r="B700" s="48"/>
      <c r="E700" s="80"/>
    </row>
    <row r="701">
      <c r="A701" s="79"/>
      <c r="B701" s="48"/>
      <c r="E701" s="80"/>
    </row>
    <row r="702">
      <c r="A702" s="79"/>
      <c r="B702" s="48"/>
      <c r="E702" s="80"/>
    </row>
    <row r="703">
      <c r="A703" s="79"/>
      <c r="B703" s="48"/>
      <c r="E703" s="80"/>
    </row>
    <row r="704">
      <c r="A704" s="79"/>
      <c r="B704" s="48"/>
      <c r="E704" s="80"/>
    </row>
    <row r="705">
      <c r="A705" s="79"/>
      <c r="B705" s="48"/>
      <c r="E705" s="80"/>
    </row>
    <row r="706">
      <c r="A706" s="79"/>
      <c r="B706" s="48"/>
      <c r="E706" s="80"/>
    </row>
    <row r="707">
      <c r="A707" s="79"/>
      <c r="B707" s="48"/>
      <c r="E707" s="80"/>
    </row>
    <row r="708">
      <c r="A708" s="79"/>
      <c r="B708" s="48"/>
      <c r="E708" s="80"/>
    </row>
    <row r="709">
      <c r="A709" s="79"/>
      <c r="B709" s="48"/>
      <c r="E709" s="80"/>
    </row>
    <row r="710">
      <c r="A710" s="79"/>
      <c r="B710" s="48"/>
      <c r="E710" s="80"/>
    </row>
    <row r="711">
      <c r="A711" s="79"/>
      <c r="B711" s="48"/>
      <c r="E711" s="80"/>
    </row>
    <row r="712">
      <c r="A712" s="79"/>
      <c r="B712" s="48"/>
      <c r="E712" s="80"/>
    </row>
    <row r="713">
      <c r="A713" s="79"/>
      <c r="B713" s="48"/>
      <c r="E713" s="80"/>
    </row>
    <row r="714">
      <c r="A714" s="79"/>
      <c r="B714" s="48"/>
      <c r="E714" s="80"/>
    </row>
    <row r="715">
      <c r="A715" s="79"/>
      <c r="B715" s="48"/>
      <c r="E715" s="80"/>
    </row>
    <row r="716">
      <c r="A716" s="79"/>
      <c r="B716" s="48"/>
      <c r="E716" s="80"/>
    </row>
    <row r="717">
      <c r="A717" s="79"/>
      <c r="B717" s="48"/>
      <c r="E717" s="80"/>
    </row>
    <row r="718">
      <c r="A718" s="79"/>
      <c r="B718" s="48"/>
      <c r="E718" s="80"/>
    </row>
    <row r="719">
      <c r="A719" s="79"/>
      <c r="B719" s="48"/>
      <c r="E719" s="80"/>
    </row>
    <row r="720">
      <c r="A720" s="79"/>
      <c r="B720" s="48"/>
      <c r="E720" s="80"/>
    </row>
    <row r="721">
      <c r="A721" s="79"/>
      <c r="B721" s="48"/>
      <c r="E721" s="80"/>
    </row>
    <row r="722">
      <c r="A722" s="79"/>
      <c r="B722" s="48"/>
      <c r="E722" s="80"/>
    </row>
    <row r="723">
      <c r="A723" s="79"/>
      <c r="B723" s="48"/>
      <c r="E723" s="80"/>
    </row>
    <row r="724">
      <c r="A724" s="79"/>
      <c r="B724" s="48"/>
      <c r="E724" s="80"/>
    </row>
    <row r="725">
      <c r="A725" s="79"/>
      <c r="B725" s="48"/>
      <c r="E725" s="80"/>
    </row>
    <row r="726">
      <c r="A726" s="79"/>
      <c r="B726" s="48"/>
      <c r="E726" s="80"/>
    </row>
    <row r="727">
      <c r="A727" s="79"/>
      <c r="B727" s="48"/>
      <c r="E727" s="80"/>
    </row>
    <row r="728">
      <c r="A728" s="79"/>
      <c r="B728" s="48"/>
      <c r="E728" s="80"/>
    </row>
    <row r="729">
      <c r="A729" s="79"/>
      <c r="B729" s="48"/>
      <c r="E729" s="80"/>
    </row>
    <row r="730">
      <c r="A730" s="79"/>
      <c r="B730" s="48"/>
      <c r="E730" s="80"/>
    </row>
    <row r="731">
      <c r="A731" s="79"/>
      <c r="B731" s="48"/>
      <c r="E731" s="80"/>
    </row>
    <row r="732">
      <c r="A732" s="79"/>
      <c r="B732" s="48"/>
      <c r="E732" s="80"/>
    </row>
    <row r="733">
      <c r="A733" s="79"/>
      <c r="B733" s="48"/>
      <c r="E733" s="80"/>
    </row>
    <row r="734">
      <c r="A734" s="79"/>
      <c r="B734" s="48"/>
      <c r="E734" s="80"/>
    </row>
    <row r="735">
      <c r="A735" s="79"/>
      <c r="B735" s="48"/>
      <c r="E735" s="80"/>
    </row>
    <row r="736">
      <c r="A736" s="79"/>
      <c r="B736" s="48"/>
      <c r="E736" s="80"/>
    </row>
    <row r="737">
      <c r="A737" s="79"/>
      <c r="B737" s="48"/>
      <c r="E737" s="80"/>
    </row>
    <row r="738">
      <c r="A738" s="79"/>
      <c r="B738" s="48"/>
      <c r="E738" s="80"/>
    </row>
    <row r="739">
      <c r="A739" s="79"/>
      <c r="B739" s="48"/>
      <c r="E739" s="80"/>
    </row>
    <row r="740">
      <c r="A740" s="79"/>
      <c r="B740" s="48"/>
      <c r="E740" s="80"/>
    </row>
    <row r="741">
      <c r="A741" s="79"/>
      <c r="B741" s="48"/>
      <c r="E741" s="80"/>
    </row>
    <row r="742">
      <c r="A742" s="79"/>
      <c r="B742" s="48"/>
      <c r="E742" s="80"/>
    </row>
    <row r="743">
      <c r="A743" s="79"/>
      <c r="B743" s="48"/>
      <c r="E743" s="80"/>
    </row>
    <row r="744">
      <c r="A744" s="79"/>
      <c r="B744" s="48"/>
      <c r="E744" s="80"/>
    </row>
    <row r="745">
      <c r="A745" s="79"/>
      <c r="B745" s="48"/>
      <c r="E745" s="80"/>
    </row>
    <row r="746">
      <c r="A746" s="79"/>
      <c r="B746" s="48"/>
      <c r="E746" s="80"/>
    </row>
    <row r="747">
      <c r="A747" s="79"/>
      <c r="B747" s="48"/>
      <c r="E747" s="80"/>
    </row>
    <row r="748">
      <c r="A748" s="79"/>
      <c r="B748" s="48"/>
      <c r="E748" s="80"/>
    </row>
    <row r="749">
      <c r="A749" s="79"/>
      <c r="B749" s="48"/>
      <c r="E749" s="80"/>
    </row>
    <row r="750">
      <c r="A750" s="79"/>
      <c r="B750" s="48"/>
      <c r="E750" s="80"/>
    </row>
    <row r="751">
      <c r="A751" s="79"/>
      <c r="B751" s="48"/>
      <c r="E751" s="80"/>
    </row>
    <row r="752">
      <c r="A752" s="79"/>
      <c r="B752" s="48"/>
      <c r="E752" s="80"/>
    </row>
    <row r="753">
      <c r="A753" s="79"/>
      <c r="B753" s="48"/>
      <c r="E753" s="80"/>
    </row>
    <row r="754">
      <c r="A754" s="79"/>
      <c r="B754" s="48"/>
      <c r="E754" s="80"/>
    </row>
    <row r="755">
      <c r="A755" s="79"/>
      <c r="B755" s="48"/>
      <c r="E755" s="80"/>
    </row>
    <row r="756">
      <c r="A756" s="79"/>
      <c r="B756" s="48"/>
      <c r="E756" s="80"/>
    </row>
    <row r="757">
      <c r="A757" s="79"/>
      <c r="B757" s="48"/>
      <c r="E757" s="80"/>
    </row>
    <row r="758">
      <c r="A758" s="79"/>
      <c r="B758" s="48"/>
      <c r="E758" s="80"/>
    </row>
    <row r="759">
      <c r="A759" s="79"/>
      <c r="B759" s="48"/>
      <c r="E759" s="80"/>
    </row>
    <row r="760">
      <c r="A760" s="79"/>
      <c r="B760" s="48"/>
      <c r="E760" s="80"/>
    </row>
    <row r="761">
      <c r="A761" s="79"/>
      <c r="B761" s="48"/>
      <c r="E761" s="80"/>
    </row>
    <row r="762">
      <c r="A762" s="79"/>
      <c r="B762" s="48"/>
      <c r="E762" s="80"/>
    </row>
    <row r="763">
      <c r="A763" s="79"/>
      <c r="B763" s="48"/>
      <c r="E763" s="80"/>
    </row>
    <row r="764">
      <c r="A764" s="79"/>
      <c r="B764" s="48"/>
      <c r="E764" s="80"/>
    </row>
    <row r="765">
      <c r="A765" s="79"/>
      <c r="B765" s="48"/>
      <c r="E765" s="80"/>
    </row>
    <row r="766">
      <c r="A766" s="79"/>
      <c r="B766" s="48"/>
      <c r="E766" s="80"/>
    </row>
    <row r="767">
      <c r="A767" s="79"/>
      <c r="B767" s="48"/>
      <c r="E767" s="80"/>
    </row>
    <row r="768">
      <c r="A768" s="79"/>
      <c r="B768" s="48"/>
      <c r="E768" s="80"/>
    </row>
    <row r="769">
      <c r="A769" s="79"/>
      <c r="B769" s="48"/>
      <c r="E769" s="80"/>
    </row>
    <row r="770">
      <c r="A770" s="79"/>
      <c r="B770" s="48"/>
      <c r="E770" s="80"/>
    </row>
    <row r="771">
      <c r="A771" s="79"/>
      <c r="B771" s="48"/>
      <c r="E771" s="80"/>
    </row>
    <row r="772">
      <c r="A772" s="79"/>
      <c r="B772" s="48"/>
      <c r="E772" s="80"/>
    </row>
    <row r="773">
      <c r="A773" s="79"/>
      <c r="B773" s="48"/>
      <c r="E773" s="80"/>
    </row>
    <row r="774">
      <c r="A774" s="79"/>
      <c r="B774" s="48"/>
      <c r="E774" s="80"/>
    </row>
    <row r="775">
      <c r="A775" s="79"/>
      <c r="B775" s="48"/>
      <c r="E775" s="80"/>
    </row>
    <row r="776">
      <c r="A776" s="79"/>
      <c r="B776" s="48"/>
      <c r="E776" s="80"/>
    </row>
    <row r="777">
      <c r="A777" s="79"/>
      <c r="B777" s="48"/>
      <c r="E777" s="80"/>
    </row>
    <row r="778">
      <c r="A778" s="79"/>
      <c r="B778" s="48"/>
      <c r="E778" s="80"/>
    </row>
    <row r="779">
      <c r="A779" s="79"/>
      <c r="B779" s="48"/>
      <c r="E779" s="80"/>
    </row>
    <row r="780">
      <c r="A780" s="79"/>
      <c r="B780" s="48"/>
      <c r="E780" s="80"/>
    </row>
    <row r="781">
      <c r="A781" s="79"/>
      <c r="B781" s="48"/>
      <c r="E781" s="80"/>
    </row>
    <row r="782">
      <c r="A782" s="79"/>
      <c r="B782" s="48"/>
      <c r="E782" s="80"/>
    </row>
    <row r="783">
      <c r="A783" s="79"/>
      <c r="B783" s="48"/>
      <c r="E783" s="80"/>
    </row>
    <row r="784">
      <c r="A784" s="79"/>
      <c r="B784" s="48"/>
      <c r="E784" s="80"/>
    </row>
    <row r="785">
      <c r="A785" s="79"/>
      <c r="B785" s="48"/>
      <c r="E785" s="80"/>
    </row>
    <row r="786">
      <c r="A786" s="79"/>
      <c r="B786" s="48"/>
      <c r="E786" s="80"/>
    </row>
    <row r="787">
      <c r="A787" s="79"/>
      <c r="B787" s="48"/>
      <c r="E787" s="80"/>
    </row>
    <row r="788">
      <c r="A788" s="79"/>
      <c r="B788" s="48"/>
      <c r="E788" s="80"/>
    </row>
    <row r="789">
      <c r="A789" s="79"/>
      <c r="B789" s="48"/>
      <c r="E789" s="80"/>
    </row>
    <row r="790">
      <c r="A790" s="79"/>
      <c r="B790" s="48"/>
      <c r="E790" s="80"/>
    </row>
    <row r="791">
      <c r="A791" s="79"/>
      <c r="B791" s="48"/>
      <c r="E791" s="80"/>
    </row>
    <row r="792">
      <c r="A792" s="79"/>
      <c r="B792" s="48"/>
      <c r="E792" s="80"/>
    </row>
    <row r="793">
      <c r="A793" s="79"/>
      <c r="B793" s="48"/>
      <c r="E793" s="80"/>
    </row>
    <row r="794">
      <c r="A794" s="79"/>
      <c r="B794" s="48"/>
      <c r="E794" s="80"/>
    </row>
    <row r="795">
      <c r="A795" s="79"/>
      <c r="B795" s="48"/>
      <c r="E795" s="80"/>
    </row>
    <row r="796">
      <c r="A796" s="79"/>
      <c r="B796" s="48"/>
      <c r="E796" s="80"/>
    </row>
    <row r="797">
      <c r="A797" s="79"/>
      <c r="B797" s="48"/>
      <c r="E797" s="80"/>
    </row>
    <row r="798">
      <c r="A798" s="79"/>
      <c r="B798" s="48"/>
      <c r="E798" s="80"/>
    </row>
    <row r="799">
      <c r="A799" s="79"/>
      <c r="B799" s="48"/>
      <c r="E799" s="80"/>
    </row>
    <row r="800">
      <c r="A800" s="79"/>
      <c r="B800" s="48"/>
      <c r="E800" s="80"/>
    </row>
    <row r="801">
      <c r="A801" s="79"/>
      <c r="B801" s="48"/>
      <c r="E801" s="80"/>
    </row>
    <row r="802">
      <c r="A802" s="79"/>
      <c r="B802" s="48"/>
      <c r="E802" s="80"/>
    </row>
    <row r="803">
      <c r="A803" s="79"/>
      <c r="B803" s="48"/>
      <c r="E803" s="80"/>
    </row>
    <row r="804">
      <c r="A804" s="79"/>
      <c r="B804" s="48"/>
      <c r="E804" s="80"/>
    </row>
    <row r="805">
      <c r="A805" s="79"/>
      <c r="B805" s="48"/>
      <c r="E805" s="80"/>
    </row>
    <row r="806">
      <c r="A806" s="79"/>
      <c r="B806" s="48"/>
      <c r="E806" s="80"/>
    </row>
    <row r="807">
      <c r="A807" s="79"/>
      <c r="B807" s="48"/>
      <c r="E807" s="80"/>
    </row>
    <row r="808">
      <c r="A808" s="79"/>
      <c r="B808" s="48"/>
      <c r="E808" s="80"/>
    </row>
    <row r="809">
      <c r="A809" s="79"/>
      <c r="B809" s="48"/>
      <c r="E809" s="80"/>
    </row>
    <row r="810">
      <c r="A810" s="79"/>
      <c r="B810" s="48"/>
      <c r="E810" s="80"/>
    </row>
    <row r="811">
      <c r="A811" s="79"/>
      <c r="B811" s="48"/>
      <c r="E811" s="80"/>
    </row>
    <row r="812">
      <c r="A812" s="79"/>
      <c r="B812" s="48"/>
      <c r="E812" s="80"/>
    </row>
    <row r="813">
      <c r="A813" s="79"/>
      <c r="B813" s="48"/>
      <c r="E813" s="80"/>
    </row>
    <row r="814">
      <c r="A814" s="79"/>
      <c r="B814" s="48"/>
      <c r="E814" s="80"/>
    </row>
    <row r="815">
      <c r="A815" s="79"/>
      <c r="B815" s="48"/>
      <c r="E815" s="80"/>
    </row>
    <row r="816">
      <c r="A816" s="79"/>
      <c r="B816" s="48"/>
      <c r="E816" s="80"/>
    </row>
    <row r="817">
      <c r="A817" s="79"/>
      <c r="B817" s="48"/>
      <c r="E817" s="80"/>
    </row>
    <row r="818">
      <c r="A818" s="79"/>
      <c r="B818" s="48"/>
      <c r="E818" s="80"/>
    </row>
    <row r="819">
      <c r="A819" s="79"/>
      <c r="B819" s="48"/>
      <c r="E819" s="80"/>
    </row>
    <row r="820">
      <c r="A820" s="79"/>
      <c r="B820" s="48"/>
      <c r="E820" s="80"/>
    </row>
    <row r="821">
      <c r="A821" s="79"/>
      <c r="B821" s="48"/>
      <c r="E821" s="80"/>
    </row>
    <row r="822">
      <c r="A822" s="79"/>
      <c r="B822" s="48"/>
      <c r="E822" s="80"/>
    </row>
    <row r="823">
      <c r="A823" s="79"/>
      <c r="B823" s="48"/>
      <c r="E823" s="80"/>
    </row>
    <row r="824">
      <c r="A824" s="79"/>
      <c r="B824" s="48"/>
      <c r="E824" s="80"/>
    </row>
    <row r="825">
      <c r="A825" s="79"/>
      <c r="B825" s="48"/>
      <c r="E825" s="80"/>
    </row>
    <row r="826">
      <c r="A826" s="79"/>
      <c r="B826" s="48"/>
      <c r="E826" s="80"/>
    </row>
    <row r="827">
      <c r="A827" s="79"/>
      <c r="B827" s="48"/>
      <c r="E827" s="80"/>
    </row>
    <row r="828">
      <c r="A828" s="79"/>
      <c r="B828" s="48"/>
      <c r="E828" s="80"/>
    </row>
    <row r="829">
      <c r="A829" s="79"/>
      <c r="B829" s="48"/>
      <c r="E829" s="80"/>
    </row>
    <row r="830">
      <c r="A830" s="79"/>
      <c r="B830" s="48"/>
      <c r="E830" s="80"/>
    </row>
    <row r="831">
      <c r="A831" s="79"/>
      <c r="B831" s="48"/>
      <c r="E831" s="80"/>
    </row>
    <row r="832">
      <c r="A832" s="79"/>
      <c r="B832" s="48"/>
      <c r="E832" s="80"/>
    </row>
    <row r="833">
      <c r="A833" s="79"/>
      <c r="B833" s="48"/>
      <c r="E833" s="80"/>
    </row>
    <row r="834">
      <c r="A834" s="79"/>
      <c r="B834" s="48"/>
      <c r="E834" s="80"/>
    </row>
    <row r="835">
      <c r="A835" s="79"/>
      <c r="B835" s="48"/>
      <c r="E835" s="80"/>
    </row>
    <row r="836">
      <c r="A836" s="79"/>
      <c r="B836" s="48"/>
      <c r="E836" s="80"/>
    </row>
    <row r="837">
      <c r="A837" s="79"/>
      <c r="B837" s="48"/>
      <c r="E837" s="80"/>
    </row>
    <row r="838">
      <c r="A838" s="79"/>
      <c r="B838" s="48"/>
      <c r="E838" s="80"/>
    </row>
    <row r="839">
      <c r="A839" s="79"/>
      <c r="B839" s="48"/>
      <c r="E839" s="80"/>
    </row>
    <row r="840">
      <c r="A840" s="79"/>
      <c r="B840" s="48"/>
      <c r="E840" s="80"/>
    </row>
    <row r="841">
      <c r="A841" s="79"/>
      <c r="B841" s="48"/>
      <c r="E841" s="80"/>
    </row>
    <row r="842">
      <c r="A842" s="79"/>
      <c r="B842" s="48"/>
      <c r="E842" s="80"/>
    </row>
    <row r="843">
      <c r="A843" s="79"/>
      <c r="B843" s="48"/>
      <c r="E843" s="80"/>
    </row>
    <row r="844">
      <c r="A844" s="79"/>
      <c r="B844" s="48"/>
      <c r="E844" s="80"/>
    </row>
    <row r="845">
      <c r="A845" s="79"/>
      <c r="B845" s="48"/>
      <c r="E845" s="80"/>
    </row>
    <row r="846">
      <c r="A846" s="79"/>
      <c r="B846" s="48"/>
      <c r="E846" s="80"/>
    </row>
    <row r="847">
      <c r="A847" s="79"/>
      <c r="B847" s="48"/>
      <c r="E847" s="80"/>
    </row>
    <row r="848">
      <c r="A848" s="79"/>
      <c r="B848" s="48"/>
      <c r="E848" s="80"/>
    </row>
    <row r="849">
      <c r="A849" s="79"/>
      <c r="B849" s="48"/>
      <c r="E849" s="80"/>
    </row>
    <row r="850">
      <c r="A850" s="79"/>
      <c r="B850" s="48"/>
      <c r="E850" s="80"/>
    </row>
    <row r="851">
      <c r="A851" s="79"/>
      <c r="B851" s="48"/>
      <c r="E851" s="80"/>
    </row>
    <row r="852">
      <c r="A852" s="79"/>
      <c r="B852" s="48"/>
      <c r="E852" s="80"/>
    </row>
    <row r="853">
      <c r="A853" s="79"/>
      <c r="B853" s="48"/>
      <c r="E853" s="80"/>
    </row>
    <row r="854">
      <c r="A854" s="79"/>
      <c r="B854" s="48"/>
      <c r="E854" s="80"/>
    </row>
    <row r="855">
      <c r="A855" s="79"/>
      <c r="B855" s="48"/>
      <c r="E855" s="80"/>
    </row>
    <row r="856">
      <c r="A856" s="79"/>
      <c r="B856" s="48"/>
      <c r="E856" s="80"/>
    </row>
    <row r="857">
      <c r="A857" s="79"/>
      <c r="B857" s="48"/>
      <c r="E857" s="80"/>
    </row>
    <row r="858">
      <c r="A858" s="79"/>
      <c r="B858" s="48"/>
      <c r="E858" s="80"/>
    </row>
    <row r="859">
      <c r="A859" s="79"/>
      <c r="B859" s="48"/>
      <c r="E859" s="80"/>
    </row>
    <row r="860">
      <c r="A860" s="79"/>
      <c r="B860" s="48"/>
      <c r="E860" s="80"/>
    </row>
    <row r="861">
      <c r="A861" s="79"/>
      <c r="B861" s="48"/>
      <c r="E861" s="80"/>
    </row>
    <row r="862">
      <c r="A862" s="79"/>
      <c r="B862" s="48"/>
      <c r="E862" s="80"/>
    </row>
    <row r="863">
      <c r="A863" s="79"/>
      <c r="B863" s="48"/>
      <c r="E863" s="80"/>
    </row>
    <row r="864">
      <c r="A864" s="79"/>
      <c r="B864" s="48"/>
      <c r="E864" s="80"/>
    </row>
    <row r="865">
      <c r="A865" s="79"/>
      <c r="B865" s="48"/>
      <c r="E865" s="80"/>
    </row>
    <row r="866">
      <c r="A866" s="79"/>
      <c r="B866" s="48"/>
      <c r="E866" s="80"/>
    </row>
    <row r="867">
      <c r="A867" s="79"/>
      <c r="B867" s="48"/>
      <c r="E867" s="80"/>
    </row>
    <row r="868">
      <c r="A868" s="79"/>
      <c r="B868" s="48"/>
      <c r="E868" s="80"/>
    </row>
    <row r="869">
      <c r="A869" s="79"/>
      <c r="B869" s="48"/>
      <c r="E869" s="80"/>
    </row>
    <row r="870">
      <c r="A870" s="79"/>
      <c r="B870" s="48"/>
      <c r="E870" s="80"/>
    </row>
    <row r="871">
      <c r="A871" s="79"/>
      <c r="B871" s="48"/>
      <c r="E871" s="80"/>
    </row>
    <row r="872">
      <c r="A872" s="79"/>
      <c r="B872" s="48"/>
      <c r="E872" s="80"/>
    </row>
    <row r="873">
      <c r="A873" s="79"/>
      <c r="B873" s="48"/>
      <c r="E873" s="80"/>
    </row>
    <row r="874">
      <c r="A874" s="79"/>
      <c r="B874" s="48"/>
      <c r="E874" s="80"/>
    </row>
    <row r="875">
      <c r="A875" s="79"/>
      <c r="B875" s="48"/>
      <c r="E875" s="80"/>
    </row>
    <row r="876">
      <c r="A876" s="79"/>
      <c r="B876" s="48"/>
      <c r="E876" s="80"/>
    </row>
    <row r="877">
      <c r="A877" s="79"/>
      <c r="B877" s="48"/>
      <c r="E877" s="80"/>
    </row>
    <row r="878">
      <c r="A878" s="79"/>
      <c r="B878" s="48"/>
      <c r="E878" s="80"/>
    </row>
    <row r="879">
      <c r="A879" s="79"/>
      <c r="B879" s="48"/>
      <c r="E879" s="80"/>
    </row>
    <row r="880">
      <c r="A880" s="79"/>
      <c r="B880" s="48"/>
      <c r="E880" s="80"/>
    </row>
    <row r="881">
      <c r="A881" s="79"/>
      <c r="B881" s="48"/>
      <c r="E881" s="80"/>
    </row>
    <row r="882">
      <c r="A882" s="79"/>
      <c r="B882" s="48"/>
      <c r="E882" s="80"/>
    </row>
    <row r="883">
      <c r="A883" s="79"/>
      <c r="B883" s="48"/>
      <c r="E883" s="80"/>
    </row>
    <row r="884">
      <c r="A884" s="79"/>
      <c r="B884" s="48"/>
      <c r="E884" s="80"/>
    </row>
    <row r="885">
      <c r="A885" s="79"/>
      <c r="B885" s="48"/>
      <c r="E885" s="80"/>
    </row>
    <row r="886">
      <c r="A886" s="79"/>
      <c r="B886" s="48"/>
      <c r="E886" s="80"/>
    </row>
    <row r="887">
      <c r="A887" s="79"/>
      <c r="B887" s="48"/>
      <c r="E887" s="80"/>
    </row>
    <row r="888">
      <c r="A888" s="79"/>
      <c r="B888" s="48"/>
      <c r="E888" s="80"/>
    </row>
    <row r="889">
      <c r="A889" s="79"/>
      <c r="B889" s="48"/>
      <c r="E889" s="80"/>
    </row>
    <row r="890">
      <c r="A890" s="79"/>
      <c r="B890" s="48"/>
      <c r="E890" s="80"/>
    </row>
    <row r="891">
      <c r="A891" s="79"/>
      <c r="B891" s="48"/>
      <c r="E891" s="80"/>
    </row>
    <row r="892">
      <c r="A892" s="79"/>
      <c r="B892" s="48"/>
      <c r="E892" s="80"/>
    </row>
    <row r="893">
      <c r="A893" s="79"/>
      <c r="B893" s="48"/>
      <c r="E893" s="80"/>
    </row>
    <row r="894">
      <c r="A894" s="79"/>
      <c r="B894" s="48"/>
      <c r="E894" s="80"/>
    </row>
    <row r="895">
      <c r="A895" s="79"/>
      <c r="B895" s="48"/>
      <c r="E895" s="80"/>
    </row>
    <row r="896">
      <c r="A896" s="79"/>
      <c r="B896" s="48"/>
      <c r="E896" s="80"/>
    </row>
    <row r="897">
      <c r="A897" s="79"/>
      <c r="B897" s="48"/>
      <c r="E897" s="80"/>
    </row>
    <row r="898">
      <c r="A898" s="79"/>
      <c r="B898" s="48"/>
      <c r="E898" s="80"/>
    </row>
    <row r="899">
      <c r="A899" s="79"/>
      <c r="B899" s="48"/>
      <c r="E899" s="80"/>
    </row>
    <row r="900">
      <c r="A900" s="79"/>
      <c r="B900" s="48"/>
      <c r="E900" s="80"/>
    </row>
    <row r="901">
      <c r="A901" s="79"/>
      <c r="B901" s="48"/>
      <c r="E901" s="80"/>
    </row>
    <row r="902">
      <c r="A902" s="79"/>
      <c r="B902" s="48"/>
      <c r="E902" s="80"/>
    </row>
    <row r="903">
      <c r="A903" s="79"/>
      <c r="B903" s="48"/>
      <c r="E903" s="80"/>
    </row>
    <row r="904">
      <c r="A904" s="79"/>
      <c r="B904" s="48"/>
      <c r="E904" s="80"/>
    </row>
    <row r="905">
      <c r="A905" s="79"/>
      <c r="B905" s="48"/>
      <c r="E905" s="80"/>
    </row>
    <row r="906">
      <c r="A906" s="79"/>
      <c r="B906" s="48"/>
      <c r="E906" s="80"/>
    </row>
    <row r="907">
      <c r="A907" s="79"/>
      <c r="B907" s="48"/>
      <c r="E907" s="80"/>
    </row>
    <row r="908">
      <c r="A908" s="79"/>
      <c r="B908" s="48"/>
      <c r="E908" s="80"/>
    </row>
    <row r="909">
      <c r="A909" s="79"/>
      <c r="B909" s="48"/>
      <c r="E909" s="80"/>
    </row>
    <row r="910">
      <c r="A910" s="79"/>
      <c r="B910" s="48"/>
      <c r="E910" s="80"/>
    </row>
    <row r="911">
      <c r="A911" s="79"/>
      <c r="B911" s="48"/>
      <c r="E911" s="80"/>
    </row>
    <row r="912">
      <c r="A912" s="79"/>
      <c r="B912" s="48"/>
      <c r="E912" s="80"/>
    </row>
    <row r="913">
      <c r="A913" s="79"/>
      <c r="B913" s="48"/>
      <c r="E913" s="80"/>
    </row>
    <row r="914">
      <c r="A914" s="79"/>
      <c r="B914" s="48"/>
      <c r="E914" s="80"/>
    </row>
    <row r="915">
      <c r="A915" s="79"/>
      <c r="B915" s="48"/>
      <c r="E915" s="80"/>
    </row>
    <row r="916">
      <c r="A916" s="79"/>
      <c r="B916" s="48"/>
      <c r="E916" s="80"/>
    </row>
    <row r="917">
      <c r="A917" s="79"/>
      <c r="B917" s="48"/>
      <c r="E917" s="80"/>
    </row>
    <row r="918">
      <c r="A918" s="79"/>
      <c r="B918" s="48"/>
      <c r="E918" s="80"/>
    </row>
    <row r="919">
      <c r="A919" s="79"/>
      <c r="B919" s="48"/>
      <c r="E919" s="80"/>
    </row>
    <row r="920">
      <c r="A920" s="79"/>
      <c r="B920" s="48"/>
      <c r="E920" s="80"/>
    </row>
    <row r="921">
      <c r="A921" s="79"/>
      <c r="B921" s="48"/>
      <c r="E921" s="80"/>
    </row>
    <row r="922">
      <c r="A922" s="79"/>
      <c r="B922" s="48"/>
      <c r="E922" s="80"/>
    </row>
    <row r="923">
      <c r="A923" s="79"/>
      <c r="B923" s="48"/>
      <c r="E923" s="80"/>
    </row>
    <row r="924">
      <c r="A924" s="79"/>
      <c r="B924" s="48"/>
      <c r="E924" s="80"/>
    </row>
    <row r="925">
      <c r="A925" s="79"/>
      <c r="B925" s="48"/>
      <c r="E925" s="80"/>
    </row>
    <row r="926">
      <c r="A926" s="79"/>
      <c r="B926" s="48"/>
      <c r="E926" s="80"/>
    </row>
    <row r="927">
      <c r="A927" s="79"/>
      <c r="B927" s="48"/>
      <c r="E927" s="80"/>
    </row>
    <row r="928">
      <c r="A928" s="79"/>
      <c r="B928" s="48"/>
      <c r="E928" s="80"/>
    </row>
    <row r="929">
      <c r="A929" s="79"/>
      <c r="B929" s="48"/>
      <c r="E929" s="80"/>
    </row>
    <row r="930">
      <c r="A930" s="79"/>
      <c r="B930" s="48"/>
      <c r="E930" s="80"/>
    </row>
    <row r="931">
      <c r="A931" s="79"/>
      <c r="B931" s="48"/>
      <c r="E931" s="80"/>
    </row>
    <row r="932">
      <c r="A932" s="79"/>
      <c r="B932" s="48"/>
      <c r="E932" s="80"/>
    </row>
    <row r="933">
      <c r="A933" s="79"/>
      <c r="B933" s="48"/>
      <c r="E933" s="80"/>
    </row>
    <row r="934">
      <c r="A934" s="79"/>
      <c r="B934" s="48"/>
      <c r="E934" s="80"/>
    </row>
    <row r="935">
      <c r="A935" s="79"/>
      <c r="B935" s="48"/>
      <c r="E935" s="80"/>
    </row>
    <row r="936">
      <c r="A936" s="79"/>
      <c r="B936" s="48"/>
      <c r="E936" s="80"/>
    </row>
    <row r="937">
      <c r="A937" s="79"/>
      <c r="B937" s="48"/>
      <c r="E937" s="80"/>
    </row>
    <row r="938">
      <c r="A938" s="79"/>
      <c r="B938" s="48"/>
      <c r="E938" s="80"/>
    </row>
    <row r="939">
      <c r="A939" s="79"/>
      <c r="B939" s="48"/>
      <c r="E939" s="80"/>
    </row>
    <row r="940">
      <c r="A940" s="79"/>
      <c r="B940" s="48"/>
      <c r="E940" s="80"/>
    </row>
    <row r="941">
      <c r="A941" s="79"/>
      <c r="B941" s="48"/>
      <c r="E941" s="80"/>
    </row>
    <row r="942">
      <c r="A942" s="79"/>
      <c r="B942" s="48"/>
      <c r="E942" s="80"/>
    </row>
    <row r="943">
      <c r="A943" s="79"/>
      <c r="B943" s="48"/>
      <c r="E943" s="80"/>
    </row>
    <row r="944">
      <c r="A944" s="79"/>
      <c r="B944" s="48"/>
      <c r="E944" s="80"/>
    </row>
    <row r="945">
      <c r="A945" s="79"/>
      <c r="B945" s="48"/>
      <c r="E945" s="80"/>
    </row>
    <row r="946">
      <c r="A946" s="79"/>
      <c r="B946" s="48"/>
      <c r="E946" s="80"/>
    </row>
    <row r="947">
      <c r="A947" s="79"/>
      <c r="B947" s="48"/>
      <c r="E947" s="80"/>
    </row>
    <row r="948">
      <c r="A948" s="79"/>
      <c r="B948" s="48"/>
      <c r="E948" s="80"/>
    </row>
    <row r="949">
      <c r="A949" s="79"/>
      <c r="B949" s="48"/>
      <c r="E949" s="80"/>
    </row>
    <row r="950">
      <c r="A950" s="79"/>
      <c r="B950" s="48"/>
      <c r="E950" s="80"/>
    </row>
    <row r="951">
      <c r="A951" s="79"/>
      <c r="B951" s="48"/>
      <c r="E951" s="80"/>
    </row>
    <row r="952">
      <c r="A952" s="79"/>
      <c r="B952" s="48"/>
      <c r="E952" s="80"/>
    </row>
    <row r="953">
      <c r="A953" s="79"/>
      <c r="B953" s="48"/>
      <c r="E953" s="80"/>
    </row>
    <row r="954">
      <c r="A954" s="79"/>
      <c r="B954" s="48"/>
      <c r="E954" s="80"/>
    </row>
    <row r="955">
      <c r="A955" s="79"/>
      <c r="B955" s="48"/>
      <c r="E955" s="80"/>
    </row>
    <row r="956">
      <c r="A956" s="79"/>
      <c r="B956" s="48"/>
      <c r="E956" s="80"/>
    </row>
    <row r="957">
      <c r="A957" s="79"/>
      <c r="B957" s="48"/>
      <c r="E957" s="80"/>
    </row>
    <row r="958">
      <c r="A958" s="79"/>
      <c r="B958" s="48"/>
      <c r="E958" s="80"/>
    </row>
    <row r="959">
      <c r="A959" s="79"/>
      <c r="B959" s="48"/>
      <c r="E959" s="80"/>
    </row>
    <row r="960">
      <c r="A960" s="79"/>
      <c r="B960" s="48"/>
      <c r="E960" s="80"/>
    </row>
    <row r="961">
      <c r="A961" s="79"/>
      <c r="B961" s="48"/>
      <c r="E961" s="80"/>
    </row>
    <row r="962">
      <c r="A962" s="79"/>
      <c r="B962" s="48"/>
      <c r="E962" s="80"/>
    </row>
    <row r="963">
      <c r="A963" s="79"/>
      <c r="B963" s="48"/>
      <c r="E963" s="80"/>
    </row>
    <row r="964">
      <c r="A964" s="79"/>
      <c r="B964" s="48"/>
      <c r="E964" s="80"/>
    </row>
    <row r="965">
      <c r="A965" s="79"/>
      <c r="B965" s="48"/>
      <c r="E965" s="80"/>
    </row>
    <row r="966">
      <c r="A966" s="79"/>
      <c r="B966" s="48"/>
      <c r="E966" s="80"/>
    </row>
    <row r="967">
      <c r="A967" s="79"/>
      <c r="B967" s="48"/>
      <c r="E967" s="80"/>
    </row>
    <row r="968">
      <c r="A968" s="79"/>
      <c r="B968" s="48"/>
      <c r="E968" s="80"/>
    </row>
    <row r="969">
      <c r="A969" s="79"/>
      <c r="B969" s="48"/>
      <c r="E969" s="80"/>
    </row>
    <row r="970">
      <c r="A970" s="79"/>
      <c r="B970" s="48"/>
      <c r="E970" s="80"/>
    </row>
    <row r="971">
      <c r="A971" s="79"/>
      <c r="B971" s="48"/>
      <c r="E971" s="80"/>
    </row>
    <row r="972">
      <c r="A972" s="79"/>
      <c r="B972" s="48"/>
      <c r="E972" s="80"/>
    </row>
    <row r="973">
      <c r="A973" s="79"/>
      <c r="B973" s="48"/>
      <c r="E973" s="80"/>
    </row>
    <row r="974">
      <c r="A974" s="79"/>
      <c r="B974" s="48"/>
      <c r="E974" s="80"/>
    </row>
    <row r="975">
      <c r="A975" s="79"/>
      <c r="B975" s="48"/>
      <c r="E975" s="80"/>
    </row>
    <row r="976">
      <c r="A976" s="79"/>
      <c r="B976" s="48"/>
      <c r="E976" s="80"/>
    </row>
    <row r="977">
      <c r="A977" s="79"/>
      <c r="B977" s="48"/>
      <c r="E977" s="80"/>
    </row>
    <row r="978">
      <c r="A978" s="79"/>
      <c r="B978" s="48"/>
      <c r="E978" s="80"/>
    </row>
    <row r="979">
      <c r="A979" s="79"/>
      <c r="B979" s="48"/>
      <c r="E979" s="80"/>
    </row>
    <row r="980">
      <c r="A980" s="79"/>
      <c r="B980" s="48"/>
      <c r="E980" s="80"/>
    </row>
    <row r="981">
      <c r="A981" s="79"/>
      <c r="B981" s="48"/>
      <c r="E981" s="80"/>
    </row>
    <row r="982">
      <c r="A982" s="79"/>
      <c r="B982" s="48"/>
      <c r="E982" s="80"/>
    </row>
    <row r="983">
      <c r="A983" s="79"/>
      <c r="B983" s="48"/>
      <c r="E983" s="80"/>
    </row>
    <row r="984">
      <c r="A984" s="79"/>
      <c r="B984" s="48"/>
      <c r="E984" s="80"/>
    </row>
    <row r="985">
      <c r="A985" s="79"/>
      <c r="B985" s="48"/>
      <c r="E985" s="80"/>
    </row>
    <row r="986">
      <c r="A986" s="79"/>
      <c r="B986" s="48"/>
      <c r="E986" s="80"/>
    </row>
    <row r="987">
      <c r="A987" s="79"/>
      <c r="B987" s="48"/>
      <c r="E987" s="80"/>
    </row>
    <row r="988">
      <c r="A988" s="79"/>
      <c r="B988" s="48"/>
      <c r="E988" s="80"/>
    </row>
    <row r="989">
      <c r="A989" s="79"/>
      <c r="B989" s="48"/>
      <c r="E989" s="80"/>
    </row>
    <row r="990">
      <c r="A990" s="79"/>
      <c r="B990" s="48"/>
      <c r="E990" s="80"/>
    </row>
    <row r="991">
      <c r="A991" s="79"/>
      <c r="B991" s="48"/>
      <c r="E991" s="80"/>
    </row>
    <row r="992">
      <c r="A992" s="79"/>
      <c r="B992" s="48"/>
      <c r="E992" s="80"/>
    </row>
    <row r="993">
      <c r="A993" s="79"/>
      <c r="B993" s="48"/>
      <c r="E993" s="80"/>
    </row>
    <row r="994">
      <c r="A994" s="79"/>
      <c r="B994" s="48"/>
      <c r="E994" s="80"/>
    </row>
    <row r="995">
      <c r="A995" s="79"/>
      <c r="B995" s="48"/>
      <c r="E995" s="80"/>
    </row>
    <row r="996">
      <c r="A996" s="79"/>
      <c r="B996" s="48"/>
      <c r="E996" s="80"/>
    </row>
    <row r="997">
      <c r="A997" s="79"/>
      <c r="B997" s="48"/>
      <c r="E997" s="80"/>
    </row>
    <row r="998">
      <c r="A998" s="79"/>
      <c r="B998" s="48"/>
      <c r="E998" s="80"/>
    </row>
    <row r="999">
      <c r="A999" s="79"/>
      <c r="B999" s="48"/>
      <c r="E999" s="80"/>
    </row>
    <row r="1000">
      <c r="A1000" s="79"/>
      <c r="B1000" s="48"/>
      <c r="E1000" s="80"/>
    </row>
    <row r="1001">
      <c r="A1001" s="79"/>
      <c r="B1001" s="48"/>
      <c r="E1001" s="80"/>
    </row>
    <row r="1002">
      <c r="A1002" s="79"/>
      <c r="B1002" s="48"/>
      <c r="E1002"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75"/>
    <col customWidth="1" min="2" max="2" width="51.13"/>
    <col customWidth="1" min="3" max="3" width="8.75"/>
    <col customWidth="1" min="4" max="4" width="6.63"/>
    <col customWidth="1" min="5" max="5" width="10.13"/>
    <col customWidth="1" min="6" max="6" width="15.38"/>
    <col customWidth="1" min="7" max="8" width="15.88"/>
    <col customWidth="1" min="9" max="9" width="19.63"/>
    <col customWidth="1" min="10" max="10" width="20.0"/>
    <col customWidth="1" min="11" max="11" width="16.88"/>
    <col customWidth="1" min="12" max="12" width="20.25"/>
    <col customWidth="1" min="15" max="15" width="23.25"/>
    <col customWidth="1" min="17" max="17" width="19.75"/>
    <col customWidth="1" min="18" max="18" width="14.88"/>
    <col customWidth="1" min="19" max="19" width="18.13"/>
    <col customWidth="1" min="20" max="20" width="24.0"/>
    <col customWidth="1" min="24" max="24" width="19.0"/>
  </cols>
  <sheetData>
    <row r="1">
      <c r="A1" s="1" t="s">
        <v>0</v>
      </c>
      <c r="B1" s="52" t="s">
        <v>1</v>
      </c>
      <c r="C1" s="50" t="s">
        <v>3</v>
      </c>
      <c r="D1" s="54" t="s">
        <v>213</v>
      </c>
      <c r="E1" s="81" t="s">
        <v>214</v>
      </c>
      <c r="F1" s="81" t="s">
        <v>215</v>
      </c>
      <c r="G1" s="81" t="s">
        <v>216</v>
      </c>
      <c r="H1" s="81" t="s">
        <v>217</v>
      </c>
      <c r="I1" s="81" t="s">
        <v>218</v>
      </c>
      <c r="J1" s="81" t="s">
        <v>219</v>
      </c>
      <c r="K1" s="82" t="s">
        <v>220</v>
      </c>
      <c r="L1" s="82" t="s">
        <v>221</v>
      </c>
      <c r="M1" s="83" t="s">
        <v>222</v>
      </c>
      <c r="N1" s="83" t="s">
        <v>223</v>
      </c>
      <c r="O1" s="83" t="s">
        <v>224</v>
      </c>
      <c r="P1" s="82" t="s">
        <v>225</v>
      </c>
      <c r="Q1" s="83" t="s">
        <v>226</v>
      </c>
      <c r="R1" s="83" t="s">
        <v>227</v>
      </c>
      <c r="S1" s="83" t="s">
        <v>228</v>
      </c>
      <c r="T1" s="83" t="s">
        <v>229</v>
      </c>
      <c r="U1" s="83" t="s">
        <v>230</v>
      </c>
      <c r="V1" s="83" t="s">
        <v>231</v>
      </c>
      <c r="W1" s="83" t="s">
        <v>232</v>
      </c>
      <c r="X1" s="83" t="s">
        <v>233</v>
      </c>
      <c r="Y1" s="83" t="s">
        <v>13</v>
      </c>
      <c r="Z1" s="83" t="s">
        <v>234</v>
      </c>
      <c r="AA1" s="84"/>
      <c r="AB1" s="84"/>
      <c r="AC1" s="84"/>
      <c r="AD1" s="84"/>
      <c r="AE1" s="84"/>
      <c r="AF1" s="84"/>
      <c r="AG1" s="84"/>
      <c r="AH1" s="84"/>
      <c r="AI1" s="84"/>
      <c r="AJ1" s="84"/>
      <c r="AK1" s="84"/>
    </row>
    <row r="2">
      <c r="A2" s="5" t="s">
        <v>14</v>
      </c>
      <c r="B2" s="6" t="s">
        <v>15</v>
      </c>
      <c r="C2" s="85">
        <v>39692.0</v>
      </c>
      <c r="D2" s="29">
        <v>1.0</v>
      </c>
      <c r="E2" s="73">
        <v>6000.0</v>
      </c>
      <c r="F2" s="73">
        <v>7500.0</v>
      </c>
      <c r="G2" s="73"/>
      <c r="H2" s="73"/>
      <c r="I2" s="73"/>
      <c r="J2" s="73"/>
      <c r="K2" s="73">
        <v>1000.0</v>
      </c>
      <c r="L2" s="73">
        <v>1000.0</v>
      </c>
      <c r="M2" s="73">
        <v>8000.0</v>
      </c>
      <c r="N2" s="74"/>
      <c r="O2" s="74"/>
      <c r="P2" s="74"/>
      <c r="Q2" s="74"/>
      <c r="R2" s="73">
        <v>750.0</v>
      </c>
      <c r="S2" s="73">
        <v>1100.0</v>
      </c>
      <c r="T2" s="73">
        <v>500.0</v>
      </c>
      <c r="X2" s="29"/>
      <c r="Y2" s="29" t="s">
        <v>235</v>
      </c>
    </row>
    <row r="3">
      <c r="A3" s="5" t="s">
        <v>14</v>
      </c>
      <c r="B3" s="6" t="s">
        <v>15</v>
      </c>
      <c r="C3" s="86">
        <v>40087.0</v>
      </c>
      <c r="D3" s="29">
        <v>2.0</v>
      </c>
      <c r="E3" s="73">
        <v>6000.0</v>
      </c>
      <c r="F3" s="73"/>
      <c r="G3" s="73"/>
      <c r="H3" s="73"/>
      <c r="I3" s="73"/>
      <c r="J3" s="73"/>
      <c r="K3" s="73">
        <v>1000.0</v>
      </c>
      <c r="L3" s="73">
        <v>1000.0</v>
      </c>
      <c r="M3" s="73">
        <v>8000.0</v>
      </c>
      <c r="N3" s="74"/>
      <c r="O3" s="74"/>
      <c r="P3" s="74"/>
      <c r="Q3" s="74"/>
      <c r="R3" s="73">
        <v>750.0</v>
      </c>
      <c r="S3" s="73">
        <v>1100.0</v>
      </c>
      <c r="T3" s="73">
        <v>500.0</v>
      </c>
      <c r="X3" s="29"/>
      <c r="Y3" s="29" t="s">
        <v>235</v>
      </c>
    </row>
    <row r="4">
      <c r="A4" s="5" t="s">
        <v>14</v>
      </c>
      <c r="B4" s="6" t="s">
        <v>15</v>
      </c>
      <c r="C4" s="86">
        <v>40483.0</v>
      </c>
      <c r="D4" s="29">
        <v>3.0</v>
      </c>
      <c r="E4" s="73">
        <v>6000.0</v>
      </c>
      <c r="F4" s="73"/>
      <c r="G4" s="73"/>
      <c r="H4" s="73"/>
      <c r="I4" s="73"/>
      <c r="J4" s="73"/>
      <c r="K4" s="73">
        <v>1000.0</v>
      </c>
      <c r="L4" s="73">
        <v>1000.0</v>
      </c>
      <c r="M4" s="73">
        <v>8000.0</v>
      </c>
      <c r="N4" s="74"/>
      <c r="O4" s="74"/>
      <c r="P4" s="74"/>
      <c r="Q4" s="74"/>
      <c r="R4" s="73">
        <v>750.0</v>
      </c>
      <c r="S4" s="73">
        <v>1100.0</v>
      </c>
      <c r="T4" s="73">
        <v>500.0</v>
      </c>
      <c r="X4" s="29"/>
      <c r="Y4" s="29" t="s">
        <v>235</v>
      </c>
    </row>
    <row r="5">
      <c r="A5" s="5" t="s">
        <v>14</v>
      </c>
      <c r="B5" s="6" t="s">
        <v>15</v>
      </c>
      <c r="C5" s="86">
        <v>40878.0</v>
      </c>
      <c r="D5" s="29">
        <v>4.0</v>
      </c>
      <c r="E5" s="73">
        <v>6000.0</v>
      </c>
      <c r="F5" s="73"/>
      <c r="G5" s="73"/>
      <c r="H5" s="73"/>
      <c r="I5" s="73"/>
      <c r="J5" s="73"/>
      <c r="K5" s="73">
        <v>1000.0</v>
      </c>
      <c r="L5" s="73">
        <v>1000.0</v>
      </c>
      <c r="M5" s="73">
        <v>8000.0</v>
      </c>
      <c r="N5" s="74"/>
      <c r="O5" s="74"/>
      <c r="P5" s="74"/>
      <c r="Q5" s="74"/>
      <c r="R5" s="73">
        <v>750.0</v>
      </c>
      <c r="S5" s="73">
        <v>1100.0</v>
      </c>
      <c r="T5" s="73">
        <v>500.0</v>
      </c>
      <c r="X5" s="29"/>
      <c r="Y5" s="29" t="s">
        <v>235</v>
      </c>
    </row>
    <row r="6">
      <c r="A6" s="5" t="s">
        <v>14</v>
      </c>
      <c r="B6" s="6" t="s">
        <v>15</v>
      </c>
      <c r="C6" s="76" t="s">
        <v>236</v>
      </c>
      <c r="D6" s="29">
        <v>5.0</v>
      </c>
      <c r="E6" s="73">
        <v>6000.0</v>
      </c>
      <c r="F6" s="73"/>
      <c r="G6" s="73"/>
      <c r="H6" s="73"/>
      <c r="I6" s="73"/>
      <c r="J6" s="73"/>
      <c r="K6" s="73">
        <v>1000.0</v>
      </c>
      <c r="L6" s="73">
        <v>1000.0</v>
      </c>
      <c r="M6" s="73">
        <v>8000.0</v>
      </c>
      <c r="N6" s="74"/>
      <c r="O6" s="74"/>
      <c r="P6" s="74"/>
      <c r="Q6" s="74"/>
      <c r="R6" s="73">
        <v>750.0</v>
      </c>
      <c r="S6" s="73">
        <v>1100.0</v>
      </c>
      <c r="T6" s="73">
        <v>500.0</v>
      </c>
      <c r="X6" s="29"/>
      <c r="Y6" s="29" t="s">
        <v>235</v>
      </c>
    </row>
    <row r="7">
      <c r="A7" s="5" t="s">
        <v>14</v>
      </c>
      <c r="B7" s="57" t="s">
        <v>15</v>
      </c>
      <c r="C7" s="87" t="s">
        <v>237</v>
      </c>
      <c r="D7" s="72">
        <v>6.0</v>
      </c>
      <c r="E7" s="88">
        <v>6000.0</v>
      </c>
      <c r="F7" s="88"/>
      <c r="G7" s="88"/>
      <c r="H7" s="88"/>
      <c r="I7" s="88"/>
      <c r="J7" s="88"/>
      <c r="K7" s="88">
        <v>1000.0</v>
      </c>
      <c r="L7" s="88">
        <v>1000.0</v>
      </c>
      <c r="M7" s="88">
        <v>8000.0</v>
      </c>
      <c r="N7" s="89"/>
      <c r="O7" s="89"/>
      <c r="P7" s="89"/>
      <c r="Q7" s="89"/>
      <c r="R7" s="88">
        <v>750.0</v>
      </c>
      <c r="S7" s="88">
        <v>1100.0</v>
      </c>
      <c r="T7" s="88">
        <v>500.0</v>
      </c>
      <c r="U7" s="90"/>
      <c r="V7" s="90"/>
      <c r="W7" s="90"/>
      <c r="X7" s="29"/>
      <c r="Y7" s="29" t="s">
        <v>235</v>
      </c>
      <c r="Z7" s="90"/>
      <c r="AA7" s="90"/>
      <c r="AB7" s="90"/>
      <c r="AC7" s="90"/>
      <c r="AD7" s="90"/>
      <c r="AE7" s="90"/>
      <c r="AF7" s="90"/>
      <c r="AG7" s="90"/>
      <c r="AH7" s="90"/>
      <c r="AI7" s="90"/>
      <c r="AJ7" s="90"/>
      <c r="AK7" s="90"/>
    </row>
    <row r="8">
      <c r="A8" s="5" t="s">
        <v>14</v>
      </c>
      <c r="B8" s="6" t="s">
        <v>15</v>
      </c>
      <c r="C8" s="76" t="s">
        <v>238</v>
      </c>
      <c r="D8" s="29">
        <v>7.0</v>
      </c>
      <c r="E8" s="73">
        <v>6000.0</v>
      </c>
      <c r="F8" s="73"/>
      <c r="G8" s="73"/>
      <c r="H8" s="73"/>
      <c r="I8" s="73"/>
      <c r="J8" s="73"/>
      <c r="K8" s="73">
        <v>1000.0</v>
      </c>
      <c r="L8" s="73">
        <v>1000.0</v>
      </c>
      <c r="M8" s="73">
        <v>8000.0</v>
      </c>
      <c r="N8" s="74"/>
      <c r="O8" s="74"/>
      <c r="P8" s="74"/>
      <c r="Q8" s="74"/>
      <c r="R8" s="73">
        <v>750.0</v>
      </c>
      <c r="S8" s="73">
        <v>1100.0</v>
      </c>
      <c r="T8" s="73">
        <v>500.0</v>
      </c>
      <c r="X8" s="29"/>
      <c r="Y8" s="29" t="s">
        <v>235</v>
      </c>
    </row>
    <row r="9">
      <c r="A9" s="5" t="s">
        <v>14</v>
      </c>
      <c r="B9" s="6" t="s">
        <v>15</v>
      </c>
      <c r="C9" s="76" t="s">
        <v>239</v>
      </c>
      <c r="D9" s="29">
        <v>8.0</v>
      </c>
      <c r="E9" s="73">
        <v>6000.0</v>
      </c>
      <c r="F9" s="73"/>
      <c r="G9" s="73"/>
      <c r="H9" s="73"/>
      <c r="I9" s="73"/>
      <c r="J9" s="73"/>
      <c r="K9" s="73">
        <v>1000.0</v>
      </c>
      <c r="L9" s="73">
        <v>1000.0</v>
      </c>
      <c r="M9" s="73">
        <v>8000.0</v>
      </c>
      <c r="N9" s="74"/>
      <c r="O9" s="74"/>
      <c r="P9" s="74"/>
      <c r="Q9" s="74"/>
      <c r="R9" s="73">
        <v>750.0</v>
      </c>
      <c r="S9" s="73">
        <v>1100.0</v>
      </c>
      <c r="T9" s="73">
        <v>500.0</v>
      </c>
      <c r="X9" s="29"/>
      <c r="Y9" s="29" t="s">
        <v>235</v>
      </c>
    </row>
    <row r="10">
      <c r="A10" s="5" t="s">
        <v>14</v>
      </c>
      <c r="B10" s="6" t="s">
        <v>15</v>
      </c>
      <c r="C10" s="76" t="s">
        <v>240</v>
      </c>
      <c r="D10" s="29">
        <v>9.0</v>
      </c>
      <c r="E10" s="73">
        <v>6000.0</v>
      </c>
      <c r="F10" s="73"/>
      <c r="G10" s="73"/>
      <c r="H10" s="73"/>
      <c r="I10" s="73"/>
      <c r="J10" s="73"/>
      <c r="K10" s="73">
        <v>1000.0</v>
      </c>
      <c r="L10" s="73">
        <v>1000.0</v>
      </c>
      <c r="M10" s="73">
        <v>8000.0</v>
      </c>
      <c r="N10" s="74"/>
      <c r="O10" s="74"/>
      <c r="P10" s="74"/>
      <c r="Q10" s="74"/>
      <c r="R10" s="73">
        <v>750.0</v>
      </c>
      <c r="S10" s="73">
        <v>1100.0</v>
      </c>
      <c r="T10" s="73">
        <v>500.0</v>
      </c>
      <c r="X10" s="29"/>
      <c r="Y10" s="29" t="s">
        <v>235</v>
      </c>
    </row>
    <row r="11">
      <c r="A11" s="5" t="s">
        <v>14</v>
      </c>
      <c r="B11" s="6" t="s">
        <v>15</v>
      </c>
      <c r="C11" s="76" t="s">
        <v>241</v>
      </c>
      <c r="D11" s="29">
        <v>10.0</v>
      </c>
      <c r="E11" s="73">
        <v>6000.0</v>
      </c>
      <c r="F11" s="73"/>
      <c r="G11" s="73"/>
      <c r="H11" s="73"/>
      <c r="I11" s="73"/>
      <c r="J11" s="73"/>
      <c r="K11" s="73">
        <v>1000.0</v>
      </c>
      <c r="L11" s="73">
        <v>1000.0</v>
      </c>
      <c r="M11" s="73">
        <v>8000.0</v>
      </c>
      <c r="N11" s="74"/>
      <c r="O11" s="74"/>
      <c r="P11" s="74"/>
      <c r="Q11" s="74"/>
      <c r="R11" s="73">
        <v>750.0</v>
      </c>
      <c r="S11" s="73">
        <v>1100.0</v>
      </c>
      <c r="T11" s="73">
        <v>500.0</v>
      </c>
      <c r="X11" s="29"/>
      <c r="Y11" s="29" t="s">
        <v>235</v>
      </c>
    </row>
    <row r="12">
      <c r="A12" s="5" t="s">
        <v>14</v>
      </c>
      <c r="B12" s="6" t="s">
        <v>15</v>
      </c>
      <c r="C12" s="76" t="s">
        <v>242</v>
      </c>
      <c r="D12" s="29">
        <v>11.0</v>
      </c>
      <c r="E12" s="73">
        <v>6000.0</v>
      </c>
      <c r="F12" s="73"/>
      <c r="G12" s="73"/>
      <c r="H12" s="73"/>
      <c r="I12" s="73"/>
      <c r="J12" s="73"/>
      <c r="K12" s="73">
        <v>1000.0</v>
      </c>
      <c r="L12" s="73">
        <v>1000.0</v>
      </c>
      <c r="M12" s="73">
        <v>8000.0</v>
      </c>
      <c r="N12" s="74"/>
      <c r="O12" s="74"/>
      <c r="P12" s="74"/>
      <c r="Q12" s="74"/>
      <c r="R12" s="73">
        <v>750.0</v>
      </c>
      <c r="S12" s="73">
        <v>1100.0</v>
      </c>
      <c r="T12" s="73">
        <v>500.0</v>
      </c>
      <c r="X12" s="29"/>
      <c r="Y12" s="29" t="s">
        <v>235</v>
      </c>
    </row>
    <row r="13">
      <c r="A13" s="44"/>
      <c r="B13" s="46"/>
      <c r="C13" s="77"/>
      <c r="D13" s="77"/>
      <c r="E13" s="91"/>
      <c r="F13" s="91"/>
      <c r="G13" s="91"/>
      <c r="H13" s="91"/>
      <c r="I13" s="91"/>
      <c r="J13" s="91"/>
      <c r="K13" s="91"/>
      <c r="L13" s="91"/>
      <c r="M13" s="46"/>
      <c r="N13" s="46"/>
      <c r="O13" s="46"/>
      <c r="P13" s="91"/>
      <c r="Q13" s="46"/>
      <c r="R13" s="46"/>
      <c r="S13" s="46"/>
      <c r="T13" s="46"/>
      <c r="U13" s="46"/>
      <c r="V13" s="46"/>
      <c r="W13" s="46"/>
      <c r="X13" s="46"/>
      <c r="Y13" s="46"/>
      <c r="Z13" s="46"/>
      <c r="AA13" s="46"/>
      <c r="AB13" s="46"/>
      <c r="AC13" s="46"/>
      <c r="AD13" s="46"/>
      <c r="AE13" s="46"/>
      <c r="AF13" s="46"/>
      <c r="AG13" s="46"/>
      <c r="AH13" s="46"/>
      <c r="AI13" s="46"/>
      <c r="AJ13" s="46"/>
      <c r="AK13" s="46"/>
    </row>
    <row r="14">
      <c r="A14" s="37" t="s">
        <v>23</v>
      </c>
      <c r="B14" s="7" t="s">
        <v>24</v>
      </c>
      <c r="C14" s="85">
        <v>38504.0</v>
      </c>
      <c r="D14" s="29">
        <v>1.0</v>
      </c>
      <c r="E14" s="73">
        <v>9000.0</v>
      </c>
      <c r="F14" s="73"/>
      <c r="G14" s="73"/>
      <c r="H14" s="73"/>
      <c r="I14" s="73"/>
      <c r="J14" s="73">
        <v>1000.0</v>
      </c>
      <c r="K14" s="73">
        <v>1000.0</v>
      </c>
      <c r="L14" s="73">
        <v>1000.0</v>
      </c>
      <c r="M14" s="73"/>
      <c r="P14" s="74"/>
    </row>
    <row r="15">
      <c r="A15" s="37" t="s">
        <v>23</v>
      </c>
      <c r="B15" s="7" t="s">
        <v>24</v>
      </c>
      <c r="C15" s="85">
        <v>38899.0</v>
      </c>
      <c r="D15" s="29">
        <v>2.0</v>
      </c>
      <c r="E15" s="73">
        <v>9000.0</v>
      </c>
      <c r="F15" s="73"/>
      <c r="G15" s="73"/>
      <c r="H15" s="73"/>
      <c r="I15" s="73"/>
      <c r="J15" s="73">
        <v>1000.0</v>
      </c>
      <c r="K15" s="73">
        <v>1000.0</v>
      </c>
      <c r="L15" s="73">
        <v>1000.0</v>
      </c>
      <c r="M15" s="73"/>
      <c r="P15" s="74"/>
    </row>
    <row r="16">
      <c r="A16" s="37" t="s">
        <v>23</v>
      </c>
      <c r="B16" s="7" t="s">
        <v>24</v>
      </c>
      <c r="C16" s="85">
        <v>39295.0</v>
      </c>
      <c r="D16" s="29">
        <v>3.0</v>
      </c>
      <c r="E16" s="73">
        <v>9000.0</v>
      </c>
      <c r="F16" s="73"/>
      <c r="G16" s="73"/>
      <c r="H16" s="73"/>
      <c r="I16" s="73"/>
      <c r="J16" s="73">
        <v>1000.0</v>
      </c>
      <c r="K16" s="73">
        <v>1000.0</v>
      </c>
      <c r="L16" s="73">
        <v>1000.0</v>
      </c>
      <c r="M16" s="73"/>
      <c r="P16" s="74"/>
    </row>
    <row r="17">
      <c r="A17" s="37" t="s">
        <v>23</v>
      </c>
      <c r="B17" s="7" t="s">
        <v>24</v>
      </c>
      <c r="C17" s="85">
        <v>39692.0</v>
      </c>
      <c r="D17" s="29">
        <v>4.0</v>
      </c>
      <c r="E17" s="73">
        <v>9000.0</v>
      </c>
      <c r="F17" s="73"/>
      <c r="G17" s="73"/>
      <c r="H17" s="73"/>
      <c r="I17" s="73"/>
      <c r="J17" s="73">
        <v>1000.0</v>
      </c>
      <c r="K17" s="73">
        <v>1000.0</v>
      </c>
      <c r="L17" s="73">
        <v>1000.0</v>
      </c>
      <c r="M17" s="73"/>
      <c r="P17" s="74"/>
    </row>
    <row r="18">
      <c r="A18" s="37" t="s">
        <v>23</v>
      </c>
      <c r="B18" s="7" t="s">
        <v>24</v>
      </c>
      <c r="C18" s="86">
        <v>40087.0</v>
      </c>
      <c r="D18" s="29">
        <v>5.0</v>
      </c>
      <c r="E18" s="73">
        <v>9000.0</v>
      </c>
      <c r="F18" s="73"/>
      <c r="G18" s="73"/>
      <c r="H18" s="73"/>
      <c r="I18" s="73"/>
      <c r="J18" s="73">
        <v>1000.0</v>
      </c>
      <c r="K18" s="73">
        <v>1000.0</v>
      </c>
      <c r="L18" s="73">
        <v>1000.0</v>
      </c>
      <c r="M18" s="73"/>
      <c r="P18" s="74"/>
    </row>
    <row r="19">
      <c r="A19" s="37" t="s">
        <v>23</v>
      </c>
      <c r="B19" s="7" t="s">
        <v>24</v>
      </c>
      <c r="C19" s="86">
        <v>40483.0</v>
      </c>
      <c r="D19" s="29">
        <v>6.0</v>
      </c>
      <c r="E19" s="73">
        <v>9000.0</v>
      </c>
      <c r="F19" s="73"/>
      <c r="G19" s="73"/>
      <c r="H19" s="73"/>
      <c r="I19" s="73"/>
      <c r="J19" s="73">
        <v>1000.0</v>
      </c>
      <c r="K19" s="73">
        <v>1000.0</v>
      </c>
      <c r="L19" s="73">
        <v>1000.0</v>
      </c>
      <c r="M19" s="73"/>
      <c r="P19" s="74"/>
    </row>
    <row r="20">
      <c r="A20" s="37" t="s">
        <v>23</v>
      </c>
      <c r="B20" s="7" t="s">
        <v>24</v>
      </c>
      <c r="C20" s="86">
        <v>40878.0</v>
      </c>
      <c r="D20" s="29">
        <v>7.0</v>
      </c>
      <c r="E20" s="73">
        <v>9000.0</v>
      </c>
      <c r="F20" s="73"/>
      <c r="G20" s="73"/>
      <c r="H20" s="73"/>
      <c r="I20" s="73"/>
      <c r="J20" s="73">
        <v>1000.0</v>
      </c>
      <c r="K20" s="73">
        <v>1000.0</v>
      </c>
      <c r="L20" s="73">
        <v>1000.0</v>
      </c>
      <c r="M20" s="73"/>
      <c r="P20" s="74"/>
    </row>
    <row r="21">
      <c r="A21" s="37" t="s">
        <v>23</v>
      </c>
      <c r="B21" s="7" t="s">
        <v>24</v>
      </c>
      <c r="C21" s="76" t="s">
        <v>236</v>
      </c>
      <c r="D21" s="29">
        <v>8.0</v>
      </c>
      <c r="E21" s="73">
        <v>9000.0</v>
      </c>
      <c r="F21" s="73"/>
      <c r="G21" s="73"/>
      <c r="H21" s="73"/>
      <c r="I21" s="73"/>
      <c r="J21" s="73">
        <v>1000.0</v>
      </c>
      <c r="K21" s="73">
        <v>1000.0</v>
      </c>
      <c r="L21" s="73">
        <v>1000.0</v>
      </c>
      <c r="M21" s="73"/>
      <c r="P21" s="74"/>
    </row>
    <row r="22">
      <c r="A22" s="37" t="s">
        <v>23</v>
      </c>
      <c r="B22" s="7" t="s">
        <v>24</v>
      </c>
      <c r="C22" s="76" t="s">
        <v>237</v>
      </c>
      <c r="D22" s="29">
        <v>9.0</v>
      </c>
      <c r="E22" s="73">
        <v>9000.0</v>
      </c>
      <c r="F22" s="73"/>
      <c r="G22" s="73"/>
      <c r="H22" s="73"/>
      <c r="I22" s="73"/>
      <c r="J22" s="73">
        <v>1000.0</v>
      </c>
      <c r="K22" s="73">
        <v>1000.0</v>
      </c>
      <c r="L22" s="73">
        <v>1000.0</v>
      </c>
      <c r="M22" s="73"/>
      <c r="P22" s="74"/>
    </row>
    <row r="23">
      <c r="A23" s="37" t="s">
        <v>23</v>
      </c>
      <c r="B23" s="7" t="s">
        <v>24</v>
      </c>
      <c r="C23" s="76" t="s">
        <v>238</v>
      </c>
      <c r="D23" s="29">
        <v>10.0</v>
      </c>
      <c r="E23" s="73">
        <v>9000.0</v>
      </c>
      <c r="F23" s="73"/>
      <c r="G23" s="73"/>
      <c r="H23" s="73"/>
      <c r="I23" s="73"/>
      <c r="J23" s="73">
        <v>1000.0</v>
      </c>
      <c r="K23" s="73">
        <v>1000.0</v>
      </c>
      <c r="L23" s="73">
        <v>1000.0</v>
      </c>
      <c r="M23" s="73"/>
      <c r="P23" s="74"/>
    </row>
    <row r="24">
      <c r="A24" s="37" t="s">
        <v>23</v>
      </c>
      <c r="B24" s="7" t="s">
        <v>24</v>
      </c>
      <c r="C24" s="76" t="s">
        <v>239</v>
      </c>
      <c r="D24" s="29">
        <v>11.0</v>
      </c>
      <c r="E24" s="73">
        <v>9000.0</v>
      </c>
      <c r="F24" s="73"/>
      <c r="G24" s="73"/>
      <c r="H24" s="73"/>
      <c r="I24" s="73"/>
      <c r="J24" s="73">
        <v>1000.0</v>
      </c>
      <c r="K24" s="73">
        <v>1000.0</v>
      </c>
      <c r="L24" s="73">
        <v>1000.0</v>
      </c>
      <c r="M24" s="73"/>
      <c r="P24" s="74"/>
    </row>
    <row r="25">
      <c r="A25" s="37" t="s">
        <v>23</v>
      </c>
      <c r="B25" s="7" t="s">
        <v>24</v>
      </c>
      <c r="C25" s="76" t="s">
        <v>240</v>
      </c>
      <c r="D25" s="29">
        <v>12.0</v>
      </c>
      <c r="E25" s="73">
        <v>9000.0</v>
      </c>
      <c r="F25" s="73"/>
      <c r="G25" s="73"/>
      <c r="H25" s="73"/>
      <c r="I25" s="73"/>
      <c r="J25" s="73">
        <v>1000.0</v>
      </c>
      <c r="K25" s="73">
        <v>1000.0</v>
      </c>
      <c r="L25" s="73">
        <v>1000.0</v>
      </c>
      <c r="M25" s="73"/>
      <c r="P25" s="74"/>
    </row>
    <row r="26">
      <c r="A26" s="44"/>
      <c r="B26" s="46"/>
      <c r="C26" s="77"/>
      <c r="D26" s="92"/>
      <c r="E26" s="91"/>
      <c r="F26" s="91"/>
      <c r="G26" s="91"/>
      <c r="H26" s="91"/>
      <c r="I26" s="91"/>
      <c r="J26" s="91"/>
      <c r="K26" s="91"/>
      <c r="L26" s="91"/>
      <c r="M26" s="46"/>
      <c r="N26" s="46"/>
      <c r="O26" s="46"/>
      <c r="P26" s="91"/>
      <c r="Q26" s="46"/>
      <c r="R26" s="46"/>
      <c r="S26" s="46"/>
      <c r="T26" s="46"/>
      <c r="U26" s="46"/>
      <c r="V26" s="46"/>
      <c r="W26" s="46"/>
      <c r="X26" s="46"/>
      <c r="Y26" s="46"/>
      <c r="Z26" s="46"/>
      <c r="AA26" s="46"/>
      <c r="AB26" s="46"/>
      <c r="AC26" s="46"/>
      <c r="AD26" s="46"/>
      <c r="AE26" s="46"/>
      <c r="AF26" s="46"/>
      <c r="AG26" s="46"/>
      <c r="AH26" s="46"/>
      <c r="AI26" s="46"/>
      <c r="AJ26" s="46"/>
      <c r="AK26" s="46"/>
    </row>
    <row r="27">
      <c r="A27" s="93" t="s">
        <v>27</v>
      </c>
      <c r="B27" s="15" t="s">
        <v>28</v>
      </c>
      <c r="C27" s="86">
        <v>40087.0</v>
      </c>
      <c r="D27" s="29">
        <v>1.0</v>
      </c>
      <c r="E27" s="73">
        <v>6000.0</v>
      </c>
      <c r="F27" s="73"/>
      <c r="G27" s="74"/>
      <c r="H27" s="74"/>
      <c r="I27" s="74"/>
      <c r="J27" s="74"/>
      <c r="K27" s="74"/>
      <c r="L27" s="73">
        <v>1000.0</v>
      </c>
      <c r="M27" s="73">
        <v>5000.0</v>
      </c>
      <c r="P27" s="74"/>
    </row>
    <row r="28">
      <c r="A28" s="93" t="s">
        <v>27</v>
      </c>
      <c r="B28" s="15" t="s">
        <v>28</v>
      </c>
      <c r="C28" s="86">
        <v>40483.0</v>
      </c>
      <c r="D28" s="29">
        <v>2.0</v>
      </c>
      <c r="E28" s="73">
        <v>6000.0</v>
      </c>
      <c r="F28" s="73">
        <v>5000.0</v>
      </c>
      <c r="G28" s="74"/>
      <c r="H28" s="74"/>
      <c r="I28" s="74"/>
      <c r="J28" s="74"/>
      <c r="K28" s="74"/>
      <c r="L28" s="73">
        <v>1000.0</v>
      </c>
      <c r="M28" s="73">
        <v>5000.0</v>
      </c>
      <c r="P28" s="74"/>
      <c r="AB28" s="29" t="s">
        <v>18</v>
      </c>
    </row>
    <row r="29">
      <c r="A29" s="93" t="s">
        <v>27</v>
      </c>
      <c r="B29" s="15" t="s">
        <v>28</v>
      </c>
      <c r="C29" s="86">
        <v>40878.0</v>
      </c>
      <c r="D29" s="29">
        <v>3.0</v>
      </c>
      <c r="E29" s="73">
        <v>6000.0</v>
      </c>
      <c r="F29" s="73">
        <v>2500.0</v>
      </c>
      <c r="G29" s="74"/>
      <c r="H29" s="74"/>
      <c r="I29" s="74"/>
      <c r="J29" s="74"/>
      <c r="K29" s="74"/>
      <c r="L29" s="73">
        <v>1000.0</v>
      </c>
      <c r="M29" s="73">
        <v>5000.0</v>
      </c>
      <c r="P29" s="74"/>
      <c r="AB29" s="29" t="s">
        <v>18</v>
      </c>
    </row>
    <row r="30">
      <c r="A30" s="93" t="s">
        <v>27</v>
      </c>
      <c r="B30" s="15" t="s">
        <v>28</v>
      </c>
      <c r="C30" s="76" t="s">
        <v>236</v>
      </c>
      <c r="D30" s="29">
        <v>4.0</v>
      </c>
      <c r="E30" s="73">
        <v>6000.0</v>
      </c>
      <c r="F30" s="73"/>
      <c r="G30" s="74"/>
      <c r="H30" s="74"/>
      <c r="I30" s="74"/>
      <c r="J30" s="74"/>
      <c r="K30" s="74"/>
      <c r="L30" s="73">
        <v>1000.0</v>
      </c>
      <c r="M30" s="73">
        <v>5000.0</v>
      </c>
      <c r="P30" s="74"/>
    </row>
    <row r="31">
      <c r="A31" s="93" t="s">
        <v>27</v>
      </c>
      <c r="B31" s="15" t="s">
        <v>28</v>
      </c>
      <c r="C31" s="76" t="s">
        <v>237</v>
      </c>
      <c r="D31" s="29">
        <v>5.0</v>
      </c>
      <c r="E31" s="73">
        <v>6000.0</v>
      </c>
      <c r="F31" s="73"/>
      <c r="G31" s="74"/>
      <c r="H31" s="74"/>
      <c r="I31" s="74"/>
      <c r="J31" s="74"/>
      <c r="K31" s="74"/>
      <c r="L31" s="73">
        <v>1000.0</v>
      </c>
      <c r="M31" s="73">
        <v>5000.0</v>
      </c>
      <c r="P31" s="74"/>
    </row>
    <row r="32">
      <c r="A32" s="93" t="s">
        <v>27</v>
      </c>
      <c r="B32" s="15" t="s">
        <v>28</v>
      </c>
      <c r="C32" s="76" t="s">
        <v>238</v>
      </c>
      <c r="D32" s="29">
        <v>6.0</v>
      </c>
      <c r="E32" s="73">
        <v>6000.0</v>
      </c>
      <c r="F32" s="73"/>
      <c r="G32" s="74"/>
      <c r="H32" s="74"/>
      <c r="I32" s="74"/>
      <c r="J32" s="74"/>
      <c r="K32" s="74"/>
      <c r="L32" s="73">
        <v>1000.0</v>
      </c>
      <c r="M32" s="73">
        <v>5000.0</v>
      </c>
      <c r="P32" s="74"/>
    </row>
    <row r="33">
      <c r="A33" s="93" t="s">
        <v>27</v>
      </c>
      <c r="B33" s="15" t="s">
        <v>28</v>
      </c>
      <c r="C33" s="76" t="s">
        <v>239</v>
      </c>
      <c r="D33" s="29">
        <v>7.0</v>
      </c>
      <c r="E33" s="73">
        <v>6000.0</v>
      </c>
      <c r="F33" s="73"/>
      <c r="G33" s="74"/>
      <c r="H33" s="74"/>
      <c r="I33" s="74"/>
      <c r="J33" s="74"/>
      <c r="K33" s="74"/>
      <c r="L33" s="73">
        <v>1000.0</v>
      </c>
      <c r="M33" s="73">
        <v>5000.0</v>
      </c>
      <c r="P33" s="74"/>
    </row>
    <row r="34">
      <c r="A34" s="93" t="s">
        <v>27</v>
      </c>
      <c r="B34" s="15" t="s">
        <v>28</v>
      </c>
      <c r="C34" s="76" t="s">
        <v>240</v>
      </c>
      <c r="D34" s="29">
        <v>8.0</v>
      </c>
      <c r="E34" s="73">
        <v>6000.0</v>
      </c>
      <c r="F34" s="73"/>
      <c r="G34" s="74"/>
      <c r="H34" s="74"/>
      <c r="I34" s="74"/>
      <c r="J34" s="74"/>
      <c r="K34" s="74"/>
      <c r="L34" s="73">
        <v>1000.0</v>
      </c>
      <c r="M34" s="73">
        <v>5000.0</v>
      </c>
      <c r="P34" s="74"/>
    </row>
    <row r="35">
      <c r="A35" s="44"/>
      <c r="B35" s="46"/>
      <c r="C35" s="77"/>
      <c r="D35" s="92"/>
      <c r="E35" s="91"/>
      <c r="F35" s="91"/>
      <c r="G35" s="91"/>
      <c r="H35" s="91"/>
      <c r="I35" s="91"/>
      <c r="J35" s="91"/>
      <c r="K35" s="91"/>
      <c r="L35" s="91"/>
      <c r="M35" s="46"/>
      <c r="N35" s="46"/>
      <c r="O35" s="46"/>
      <c r="P35" s="91"/>
      <c r="Q35" s="46"/>
      <c r="R35" s="46"/>
      <c r="S35" s="46"/>
      <c r="T35" s="46"/>
      <c r="U35" s="46"/>
      <c r="V35" s="46"/>
      <c r="W35" s="46"/>
      <c r="X35" s="46"/>
      <c r="Y35" s="46"/>
      <c r="Z35" s="46"/>
      <c r="AA35" s="46"/>
      <c r="AB35" s="46"/>
      <c r="AC35" s="46"/>
      <c r="AD35" s="46"/>
      <c r="AE35" s="46"/>
      <c r="AF35" s="46"/>
      <c r="AG35" s="46"/>
      <c r="AH35" s="46"/>
      <c r="AI35" s="46"/>
      <c r="AJ35" s="46"/>
      <c r="AK35" s="46"/>
    </row>
    <row r="36">
      <c r="A36" s="93" t="s">
        <v>27</v>
      </c>
      <c r="B36" s="15" t="s">
        <v>32</v>
      </c>
      <c r="C36" s="86">
        <v>40087.0</v>
      </c>
      <c r="D36" s="29">
        <v>1.0</v>
      </c>
      <c r="E36" s="73">
        <v>2000.0</v>
      </c>
      <c r="F36" s="74"/>
      <c r="G36" s="74"/>
      <c r="H36" s="74"/>
      <c r="I36" s="74"/>
      <c r="J36" s="74"/>
      <c r="K36" s="74"/>
      <c r="L36" s="73">
        <v>1000.0</v>
      </c>
      <c r="M36" s="73">
        <v>7000.0</v>
      </c>
      <c r="P36" s="74"/>
    </row>
    <row r="37">
      <c r="A37" s="93" t="s">
        <v>27</v>
      </c>
      <c r="B37" s="15" t="s">
        <v>32</v>
      </c>
      <c r="C37" s="86">
        <v>40483.0</v>
      </c>
      <c r="D37" s="29">
        <v>2.0</v>
      </c>
      <c r="E37" s="73">
        <v>2000.0</v>
      </c>
      <c r="F37" s="74"/>
      <c r="G37" s="73"/>
      <c r="H37" s="74"/>
      <c r="I37" s="74"/>
      <c r="J37" s="74"/>
      <c r="K37" s="74"/>
      <c r="L37" s="73">
        <v>1000.0</v>
      </c>
      <c r="M37" s="73">
        <v>7000.0</v>
      </c>
      <c r="P37" s="74"/>
    </row>
    <row r="38">
      <c r="A38" s="93" t="s">
        <v>27</v>
      </c>
      <c r="B38" s="15" t="s">
        <v>32</v>
      </c>
      <c r="C38" s="86">
        <v>40878.0</v>
      </c>
      <c r="D38" s="29">
        <v>3.0</v>
      </c>
      <c r="E38" s="73">
        <v>2000.0</v>
      </c>
      <c r="F38" s="74"/>
      <c r="G38" s="74"/>
      <c r="H38" s="74"/>
      <c r="I38" s="74"/>
      <c r="J38" s="74"/>
      <c r="K38" s="74"/>
      <c r="L38" s="73">
        <v>1000.0</v>
      </c>
      <c r="M38" s="73">
        <v>7000.0</v>
      </c>
      <c r="P38" s="74"/>
    </row>
    <row r="39">
      <c r="A39" s="93" t="s">
        <v>27</v>
      </c>
      <c r="B39" s="15" t="s">
        <v>32</v>
      </c>
      <c r="C39" s="76" t="s">
        <v>236</v>
      </c>
      <c r="D39" s="29">
        <v>4.0</v>
      </c>
      <c r="E39" s="73">
        <v>2000.0</v>
      </c>
      <c r="F39" s="74"/>
      <c r="G39" s="74"/>
      <c r="H39" s="74"/>
      <c r="I39" s="74"/>
      <c r="J39" s="74"/>
      <c r="K39" s="74"/>
      <c r="L39" s="73">
        <v>1000.0</v>
      </c>
      <c r="M39" s="73">
        <v>7000.0</v>
      </c>
      <c r="P39" s="74"/>
    </row>
    <row r="40">
      <c r="A40" s="93" t="s">
        <v>27</v>
      </c>
      <c r="B40" s="15" t="s">
        <v>32</v>
      </c>
      <c r="C40" s="76" t="s">
        <v>237</v>
      </c>
      <c r="D40" s="29">
        <v>5.0</v>
      </c>
      <c r="E40" s="73">
        <v>2000.0</v>
      </c>
      <c r="F40" s="74"/>
      <c r="G40" s="74"/>
      <c r="H40" s="74"/>
      <c r="I40" s="74"/>
      <c r="J40" s="74"/>
      <c r="K40" s="74"/>
      <c r="L40" s="73">
        <v>1000.0</v>
      </c>
      <c r="M40" s="73">
        <v>7000.0</v>
      </c>
      <c r="P40" s="74"/>
    </row>
    <row r="41">
      <c r="A41" s="93" t="s">
        <v>27</v>
      </c>
      <c r="B41" s="15" t="s">
        <v>32</v>
      </c>
      <c r="C41" s="76" t="s">
        <v>238</v>
      </c>
      <c r="D41" s="29">
        <v>6.0</v>
      </c>
      <c r="E41" s="73">
        <v>2000.0</v>
      </c>
      <c r="F41" s="74"/>
      <c r="G41" s="74"/>
      <c r="H41" s="74"/>
      <c r="I41" s="74"/>
      <c r="J41" s="74"/>
      <c r="K41" s="74"/>
      <c r="L41" s="73">
        <v>1000.0</v>
      </c>
      <c r="M41" s="73">
        <v>7000.0</v>
      </c>
      <c r="P41" s="74"/>
    </row>
    <row r="42">
      <c r="A42" s="93" t="s">
        <v>27</v>
      </c>
      <c r="B42" s="15" t="s">
        <v>32</v>
      </c>
      <c r="C42" s="76" t="s">
        <v>239</v>
      </c>
      <c r="D42" s="29">
        <v>7.0</v>
      </c>
      <c r="E42" s="73">
        <v>2000.0</v>
      </c>
      <c r="F42" s="74"/>
      <c r="G42" s="74"/>
      <c r="H42" s="74"/>
      <c r="I42" s="74"/>
      <c r="J42" s="74"/>
      <c r="K42" s="74"/>
      <c r="L42" s="73">
        <v>1000.0</v>
      </c>
      <c r="M42" s="73">
        <v>7000.0</v>
      </c>
      <c r="P42" s="74"/>
    </row>
    <row r="43">
      <c r="A43" s="93" t="s">
        <v>27</v>
      </c>
      <c r="B43" s="15" t="s">
        <v>32</v>
      </c>
      <c r="C43" s="76" t="s">
        <v>240</v>
      </c>
      <c r="D43" s="29">
        <v>8.0</v>
      </c>
      <c r="E43" s="73">
        <v>2000.0</v>
      </c>
      <c r="F43" s="74"/>
      <c r="G43" s="74"/>
      <c r="H43" s="74"/>
      <c r="I43" s="74"/>
      <c r="J43" s="74"/>
      <c r="K43" s="74"/>
      <c r="L43" s="73">
        <v>1000.0</v>
      </c>
      <c r="M43" s="73">
        <v>7000.0</v>
      </c>
      <c r="P43" s="74"/>
    </row>
    <row r="44">
      <c r="A44" s="44"/>
      <c r="B44" s="46"/>
      <c r="C44" s="77"/>
      <c r="D44" s="92"/>
      <c r="E44" s="91"/>
      <c r="F44" s="91"/>
      <c r="G44" s="91"/>
      <c r="H44" s="91"/>
      <c r="I44" s="91"/>
      <c r="J44" s="91"/>
      <c r="K44" s="91"/>
      <c r="L44" s="91"/>
      <c r="M44" s="46"/>
      <c r="N44" s="46"/>
      <c r="O44" s="46"/>
      <c r="P44" s="91"/>
      <c r="Q44" s="46"/>
      <c r="R44" s="46"/>
      <c r="S44" s="46"/>
      <c r="T44" s="46"/>
      <c r="U44" s="46"/>
      <c r="V44" s="46"/>
      <c r="W44" s="46"/>
      <c r="X44" s="46"/>
      <c r="Y44" s="46"/>
      <c r="Z44" s="46"/>
      <c r="AA44" s="46"/>
      <c r="AB44" s="46"/>
      <c r="AC44" s="46"/>
      <c r="AD44" s="46"/>
      <c r="AE44" s="46"/>
      <c r="AF44" s="46"/>
      <c r="AG44" s="46"/>
      <c r="AH44" s="46"/>
      <c r="AI44" s="46"/>
      <c r="AJ44" s="46"/>
      <c r="AK44" s="46"/>
    </row>
    <row r="45">
      <c r="A45" s="37" t="s">
        <v>35</v>
      </c>
      <c r="B45" s="7" t="s">
        <v>36</v>
      </c>
      <c r="C45" s="76" t="s">
        <v>240</v>
      </c>
      <c r="D45" s="29">
        <v>1.0</v>
      </c>
      <c r="E45" s="73">
        <v>15000.0</v>
      </c>
      <c r="F45" s="74"/>
      <c r="G45" s="73"/>
      <c r="H45" s="73">
        <v>400000.0</v>
      </c>
      <c r="I45" s="73">
        <v>50000.0</v>
      </c>
      <c r="J45" s="74"/>
      <c r="K45" s="74"/>
      <c r="L45" s="74"/>
      <c r="M45" s="94">
        <v>30000.0</v>
      </c>
      <c r="N45" s="94">
        <v>20000.0</v>
      </c>
      <c r="O45" s="67">
        <v>30000.0</v>
      </c>
      <c r="P45" s="74"/>
    </row>
    <row r="46">
      <c r="A46" s="37" t="s">
        <v>35</v>
      </c>
      <c r="B46" s="7" t="s">
        <v>36</v>
      </c>
      <c r="C46" s="76" t="s">
        <v>241</v>
      </c>
      <c r="D46" s="29">
        <v>2.0</v>
      </c>
      <c r="E46" s="73">
        <v>15000.0</v>
      </c>
      <c r="F46" s="73"/>
      <c r="G46" s="73"/>
      <c r="H46" s="73">
        <v>400000.0</v>
      </c>
      <c r="I46" s="73">
        <v>50000.0</v>
      </c>
      <c r="J46" s="74"/>
      <c r="K46" s="74"/>
      <c r="L46" s="74"/>
      <c r="M46" s="94">
        <v>30000.0</v>
      </c>
      <c r="N46" s="94">
        <v>20000.0</v>
      </c>
      <c r="O46" s="67">
        <v>30000.0</v>
      </c>
      <c r="P46" s="74"/>
    </row>
    <row r="47">
      <c r="A47" s="37" t="s">
        <v>35</v>
      </c>
      <c r="B47" s="7" t="s">
        <v>36</v>
      </c>
      <c r="C47" s="76" t="s">
        <v>242</v>
      </c>
      <c r="D47" s="29">
        <v>3.0</v>
      </c>
      <c r="E47" s="73">
        <v>15000.0</v>
      </c>
      <c r="F47" s="73"/>
      <c r="G47" s="73"/>
      <c r="H47" s="73">
        <v>400000.0</v>
      </c>
      <c r="I47" s="73">
        <v>50000.0</v>
      </c>
      <c r="J47" s="74"/>
      <c r="K47" s="74"/>
      <c r="L47" s="74"/>
      <c r="M47" s="94">
        <v>30000.0</v>
      </c>
      <c r="N47" s="94">
        <v>20000.0</v>
      </c>
      <c r="O47" s="67">
        <v>30000.0</v>
      </c>
      <c r="P47" s="74"/>
    </row>
    <row r="48">
      <c r="A48" s="37" t="s">
        <v>35</v>
      </c>
      <c r="B48" s="7" t="s">
        <v>36</v>
      </c>
      <c r="C48" s="76" t="s">
        <v>243</v>
      </c>
      <c r="D48" s="29">
        <v>4.0</v>
      </c>
      <c r="E48" s="73">
        <v>15000.0</v>
      </c>
      <c r="F48" s="73"/>
      <c r="G48" s="73"/>
      <c r="H48" s="73">
        <v>400000.0</v>
      </c>
      <c r="I48" s="73">
        <v>50000.0</v>
      </c>
      <c r="J48" s="74"/>
      <c r="K48" s="74"/>
      <c r="L48" s="74"/>
      <c r="M48" s="94">
        <v>30000.0</v>
      </c>
      <c r="N48" s="94">
        <v>20000.0</v>
      </c>
      <c r="O48" s="67">
        <v>30000.0</v>
      </c>
      <c r="P48" s="74"/>
    </row>
    <row r="49">
      <c r="A49" s="37" t="s">
        <v>35</v>
      </c>
      <c r="B49" s="7" t="s">
        <v>36</v>
      </c>
      <c r="C49" s="76" t="s">
        <v>244</v>
      </c>
      <c r="D49" s="29">
        <v>5.0</v>
      </c>
      <c r="E49" s="73">
        <v>15000.0</v>
      </c>
      <c r="F49" s="73"/>
      <c r="G49" s="73"/>
      <c r="H49" s="73">
        <v>400000.0</v>
      </c>
      <c r="I49" s="73">
        <v>50000.0</v>
      </c>
      <c r="J49" s="74"/>
      <c r="K49" s="74"/>
      <c r="L49" s="74"/>
      <c r="M49" s="94">
        <v>30000.0</v>
      </c>
      <c r="N49" s="94">
        <v>20000.0</v>
      </c>
      <c r="O49" s="67">
        <v>30000.0</v>
      </c>
      <c r="P49" s="74"/>
    </row>
    <row r="50">
      <c r="A50" s="44"/>
      <c r="B50" s="46"/>
      <c r="C50" s="77"/>
      <c r="D50" s="92"/>
      <c r="E50" s="91"/>
      <c r="F50" s="91"/>
      <c r="G50" s="91"/>
      <c r="H50" s="91"/>
      <c r="I50" s="91"/>
      <c r="J50" s="91"/>
      <c r="K50" s="91"/>
      <c r="L50" s="91"/>
      <c r="M50" s="46"/>
      <c r="N50" s="46"/>
      <c r="O50" s="46"/>
      <c r="P50" s="91"/>
      <c r="Q50" s="46"/>
      <c r="R50" s="46"/>
      <c r="S50" s="46"/>
      <c r="T50" s="46"/>
      <c r="U50" s="46"/>
      <c r="V50" s="46"/>
      <c r="W50" s="46"/>
      <c r="X50" s="46"/>
      <c r="Y50" s="46"/>
      <c r="Z50" s="46"/>
      <c r="AA50" s="46"/>
      <c r="AB50" s="46"/>
      <c r="AC50" s="46"/>
      <c r="AD50" s="46"/>
      <c r="AE50" s="46"/>
      <c r="AF50" s="46"/>
      <c r="AG50" s="46"/>
      <c r="AH50" s="46"/>
      <c r="AI50" s="46"/>
      <c r="AJ50" s="46"/>
      <c r="AK50" s="46"/>
    </row>
    <row r="51">
      <c r="A51" s="93" t="s">
        <v>45</v>
      </c>
      <c r="B51" s="15" t="s">
        <v>46</v>
      </c>
      <c r="C51" s="76" t="s">
        <v>237</v>
      </c>
      <c r="D51" s="29">
        <v>1.0</v>
      </c>
      <c r="E51" s="73">
        <v>5000.0</v>
      </c>
      <c r="F51" s="74"/>
      <c r="G51" s="74"/>
      <c r="H51" s="74"/>
      <c r="I51" s="74"/>
      <c r="J51" s="74"/>
      <c r="K51" s="74"/>
      <c r="L51" s="94">
        <v>1000.0</v>
      </c>
      <c r="M51" s="94">
        <v>10000.0</v>
      </c>
      <c r="N51" s="94">
        <v>3000.0</v>
      </c>
      <c r="P51" s="74"/>
    </row>
    <row r="52">
      <c r="A52" s="93" t="s">
        <v>45</v>
      </c>
      <c r="B52" s="15" t="s">
        <v>46</v>
      </c>
      <c r="C52" s="76" t="s">
        <v>238</v>
      </c>
      <c r="D52" s="29">
        <v>2.0</v>
      </c>
      <c r="E52" s="73">
        <v>5000.0</v>
      </c>
      <c r="F52" s="74"/>
      <c r="G52" s="74"/>
      <c r="H52" s="74"/>
      <c r="I52" s="74"/>
      <c r="J52" s="74"/>
      <c r="K52" s="74"/>
      <c r="L52" s="94">
        <v>1000.0</v>
      </c>
      <c r="M52" s="94">
        <v>10000.0</v>
      </c>
      <c r="N52" s="94">
        <v>3000.0</v>
      </c>
      <c r="P52" s="74"/>
    </row>
    <row r="53">
      <c r="A53" s="93" t="s">
        <v>45</v>
      </c>
      <c r="B53" s="15" t="s">
        <v>46</v>
      </c>
      <c r="C53" s="76" t="s">
        <v>239</v>
      </c>
      <c r="D53" s="29">
        <v>3.0</v>
      </c>
      <c r="E53" s="73">
        <v>5000.0</v>
      </c>
      <c r="F53" s="74"/>
      <c r="G53" s="74"/>
      <c r="H53" s="74"/>
      <c r="I53" s="74"/>
      <c r="J53" s="74"/>
      <c r="K53" s="74"/>
      <c r="L53" s="94">
        <v>1000.0</v>
      </c>
      <c r="M53" s="94">
        <v>10000.0</v>
      </c>
      <c r="N53" s="94">
        <v>3000.0</v>
      </c>
      <c r="P53" s="74"/>
    </row>
    <row r="54">
      <c r="A54" s="93" t="s">
        <v>45</v>
      </c>
      <c r="B54" s="15" t="s">
        <v>46</v>
      </c>
      <c r="C54" s="76" t="s">
        <v>240</v>
      </c>
      <c r="D54" s="29">
        <v>4.0</v>
      </c>
      <c r="E54" s="73">
        <v>5000.0</v>
      </c>
      <c r="F54" s="74"/>
      <c r="G54" s="74"/>
      <c r="H54" s="74"/>
      <c r="I54" s="74"/>
      <c r="J54" s="74"/>
      <c r="K54" s="74"/>
      <c r="L54" s="94">
        <v>1000.0</v>
      </c>
      <c r="M54" s="94">
        <v>10000.0</v>
      </c>
      <c r="N54" s="94">
        <v>3000.0</v>
      </c>
      <c r="P54" s="74"/>
    </row>
    <row r="55">
      <c r="A55" s="93" t="s">
        <v>45</v>
      </c>
      <c r="B55" s="15" t="s">
        <v>46</v>
      </c>
      <c r="C55" s="76" t="s">
        <v>241</v>
      </c>
      <c r="D55" s="29">
        <v>5.0</v>
      </c>
      <c r="E55" s="73">
        <v>5000.0</v>
      </c>
      <c r="F55" s="74"/>
      <c r="G55" s="74"/>
      <c r="H55" s="74"/>
      <c r="I55" s="74"/>
      <c r="J55" s="74"/>
      <c r="K55" s="74"/>
      <c r="L55" s="94">
        <v>1000.0</v>
      </c>
      <c r="M55" s="94">
        <v>10000.0</v>
      </c>
      <c r="N55" s="94">
        <v>3000.0</v>
      </c>
      <c r="P55" s="74"/>
    </row>
    <row r="56">
      <c r="A56" s="44"/>
      <c r="B56" s="46"/>
      <c r="C56" s="77"/>
      <c r="D56" s="92"/>
      <c r="E56" s="91"/>
      <c r="F56" s="91"/>
      <c r="G56" s="91"/>
      <c r="H56" s="91"/>
      <c r="I56" s="91"/>
      <c r="J56" s="91"/>
      <c r="K56" s="91"/>
      <c r="L56" s="91"/>
      <c r="M56" s="46"/>
      <c r="N56" s="46"/>
      <c r="O56" s="46"/>
      <c r="P56" s="91"/>
      <c r="Q56" s="46"/>
      <c r="R56" s="46"/>
      <c r="S56" s="46"/>
      <c r="T56" s="46"/>
      <c r="U56" s="46"/>
      <c r="V56" s="46"/>
      <c r="W56" s="46"/>
      <c r="X56" s="46"/>
      <c r="Y56" s="46"/>
      <c r="Z56" s="46"/>
      <c r="AA56" s="46"/>
      <c r="AB56" s="46"/>
      <c r="AC56" s="46"/>
      <c r="AD56" s="46"/>
      <c r="AE56" s="46"/>
      <c r="AF56" s="46"/>
      <c r="AG56" s="46"/>
      <c r="AH56" s="46"/>
      <c r="AI56" s="46"/>
      <c r="AJ56" s="46"/>
      <c r="AK56" s="46"/>
    </row>
    <row r="57">
      <c r="A57" s="37" t="s">
        <v>49</v>
      </c>
      <c r="B57" s="7" t="s">
        <v>50</v>
      </c>
      <c r="C57" s="76">
        <v>2011.0</v>
      </c>
      <c r="D57" s="29">
        <v>1.0</v>
      </c>
      <c r="E57" s="73">
        <v>1500.0</v>
      </c>
      <c r="F57" s="74"/>
      <c r="G57" s="74"/>
      <c r="H57" s="74"/>
      <c r="I57" s="74"/>
      <c r="J57" s="74"/>
      <c r="K57" s="74"/>
      <c r="L57" s="73">
        <v>1500.0</v>
      </c>
      <c r="M57" s="73">
        <v>10000.0</v>
      </c>
      <c r="P57" s="74"/>
      <c r="Z57" s="29" t="s">
        <v>18</v>
      </c>
    </row>
    <row r="58">
      <c r="A58" s="37" t="s">
        <v>49</v>
      </c>
      <c r="B58" s="7" t="s">
        <v>50</v>
      </c>
      <c r="C58" s="76">
        <v>2012.0</v>
      </c>
      <c r="D58" s="29">
        <v>2.0</v>
      </c>
      <c r="E58" s="73">
        <v>1500.0</v>
      </c>
      <c r="F58" s="74"/>
      <c r="G58" s="74"/>
      <c r="H58" s="74"/>
      <c r="I58" s="74"/>
      <c r="J58" s="74"/>
      <c r="K58" s="74"/>
      <c r="L58" s="73">
        <v>1500.0</v>
      </c>
      <c r="M58" s="73">
        <v>10000.0</v>
      </c>
      <c r="P58" s="74"/>
      <c r="Z58" s="29" t="s">
        <v>18</v>
      </c>
    </row>
    <row r="59">
      <c r="A59" s="37" t="s">
        <v>49</v>
      </c>
      <c r="B59" s="7" t="s">
        <v>50</v>
      </c>
      <c r="C59" s="76">
        <v>2013.0</v>
      </c>
      <c r="D59" s="29">
        <v>3.0</v>
      </c>
      <c r="E59" s="73">
        <v>1500.0</v>
      </c>
      <c r="F59" s="74"/>
      <c r="G59" s="74"/>
      <c r="H59" s="74"/>
      <c r="I59" s="74"/>
      <c r="J59" s="74"/>
      <c r="K59" s="74"/>
      <c r="L59" s="73">
        <v>1500.0</v>
      </c>
      <c r="M59" s="73">
        <v>10000.0</v>
      </c>
      <c r="P59" s="74"/>
      <c r="Z59" s="29" t="s">
        <v>18</v>
      </c>
    </row>
    <row r="60">
      <c r="A60" s="37" t="s">
        <v>49</v>
      </c>
      <c r="B60" s="7" t="s">
        <v>50</v>
      </c>
      <c r="C60" s="76">
        <v>2014.0</v>
      </c>
      <c r="D60" s="29">
        <v>4.0</v>
      </c>
      <c r="E60" s="73">
        <v>1500.0</v>
      </c>
      <c r="F60" s="74"/>
      <c r="G60" s="74"/>
      <c r="H60" s="74"/>
      <c r="I60" s="74"/>
      <c r="J60" s="74"/>
      <c r="K60" s="74"/>
      <c r="L60" s="73">
        <v>1500.0</v>
      </c>
      <c r="M60" s="73">
        <v>10000.0</v>
      </c>
      <c r="P60" s="74"/>
      <c r="Z60" s="29" t="s">
        <v>18</v>
      </c>
    </row>
    <row r="61">
      <c r="A61" s="37" t="s">
        <v>49</v>
      </c>
      <c r="B61" s="7" t="s">
        <v>50</v>
      </c>
      <c r="C61" s="76">
        <v>2015.0</v>
      </c>
      <c r="D61" s="29">
        <v>5.0</v>
      </c>
      <c r="E61" s="73">
        <v>1500.0</v>
      </c>
      <c r="F61" s="74"/>
      <c r="G61" s="74"/>
      <c r="H61" s="74"/>
      <c r="I61" s="74"/>
      <c r="J61" s="74"/>
      <c r="K61" s="74"/>
      <c r="L61" s="73">
        <v>1500.0</v>
      </c>
      <c r="M61" s="73">
        <v>10000.0</v>
      </c>
      <c r="P61" s="74"/>
      <c r="Z61" s="29" t="s">
        <v>18</v>
      </c>
    </row>
    <row r="62">
      <c r="A62" s="37" t="s">
        <v>49</v>
      </c>
      <c r="B62" s="7" t="s">
        <v>50</v>
      </c>
      <c r="C62" s="76">
        <v>2016.0</v>
      </c>
      <c r="D62" s="29">
        <v>6.0</v>
      </c>
      <c r="E62" s="73">
        <v>1500.0</v>
      </c>
      <c r="F62" s="74"/>
      <c r="G62" s="74"/>
      <c r="H62" s="74"/>
      <c r="I62" s="74"/>
      <c r="J62" s="74"/>
      <c r="K62" s="74"/>
      <c r="L62" s="73">
        <v>1500.0</v>
      </c>
      <c r="M62" s="73">
        <v>10000.0</v>
      </c>
      <c r="P62" s="74"/>
      <c r="Z62" s="29" t="s">
        <v>18</v>
      </c>
    </row>
    <row r="63">
      <c r="A63" s="37" t="s">
        <v>49</v>
      </c>
      <c r="B63" s="7" t="s">
        <v>50</v>
      </c>
      <c r="C63" s="76" t="s">
        <v>245</v>
      </c>
      <c r="D63" s="29">
        <v>7.0</v>
      </c>
      <c r="E63" s="73">
        <v>1500.0</v>
      </c>
      <c r="F63" s="74"/>
      <c r="G63" s="74"/>
      <c r="H63" s="74"/>
      <c r="I63" s="74"/>
      <c r="J63" s="74"/>
      <c r="K63" s="74"/>
      <c r="L63" s="73">
        <v>1500.0</v>
      </c>
      <c r="M63" s="73">
        <v>10000.0</v>
      </c>
      <c r="P63" s="74"/>
      <c r="Z63" s="29" t="s">
        <v>18</v>
      </c>
    </row>
    <row r="64">
      <c r="A64" s="44"/>
      <c r="B64" s="46"/>
      <c r="C64" s="77"/>
      <c r="D64" s="92"/>
      <c r="E64" s="91"/>
      <c r="F64" s="91"/>
      <c r="G64" s="91"/>
      <c r="H64" s="91"/>
      <c r="I64" s="91"/>
      <c r="J64" s="91"/>
      <c r="K64" s="91"/>
      <c r="L64" s="91"/>
      <c r="M64" s="46"/>
      <c r="N64" s="46"/>
      <c r="O64" s="46"/>
      <c r="P64" s="91"/>
      <c r="Q64" s="46"/>
      <c r="R64" s="46"/>
      <c r="S64" s="46"/>
      <c r="T64" s="46"/>
      <c r="U64" s="46"/>
      <c r="V64" s="46"/>
      <c r="W64" s="46"/>
      <c r="X64" s="46"/>
      <c r="Y64" s="46"/>
      <c r="Z64" s="46"/>
      <c r="AA64" s="46"/>
      <c r="AB64" s="46"/>
      <c r="AC64" s="46"/>
      <c r="AD64" s="46"/>
      <c r="AE64" s="46"/>
      <c r="AF64" s="46"/>
      <c r="AG64" s="46"/>
      <c r="AH64" s="46"/>
      <c r="AI64" s="46"/>
      <c r="AJ64" s="46"/>
      <c r="AK64" s="46"/>
    </row>
    <row r="65">
      <c r="A65" s="37" t="s">
        <v>52</v>
      </c>
      <c r="B65" s="7" t="s">
        <v>53</v>
      </c>
      <c r="C65" s="76">
        <v>2016.0</v>
      </c>
      <c r="D65" s="29">
        <v>1.0</v>
      </c>
      <c r="E65" s="74"/>
      <c r="F65" s="74"/>
      <c r="G65" s="74"/>
      <c r="H65" s="73">
        <v>9000.0</v>
      </c>
      <c r="I65" s="74"/>
      <c r="J65" s="74"/>
      <c r="K65" s="74"/>
      <c r="L65" s="74"/>
      <c r="P65" s="74"/>
    </row>
    <row r="66">
      <c r="A66" s="37" t="s">
        <v>52</v>
      </c>
      <c r="B66" s="7" t="s">
        <v>53</v>
      </c>
      <c r="C66" s="76" t="s">
        <v>245</v>
      </c>
      <c r="D66" s="29">
        <v>2.0</v>
      </c>
      <c r="E66" s="74"/>
      <c r="F66" s="74"/>
      <c r="G66" s="74"/>
      <c r="H66" s="73">
        <v>9000.0</v>
      </c>
      <c r="I66" s="74"/>
      <c r="J66" s="74"/>
      <c r="K66" s="74"/>
      <c r="L66" s="74"/>
      <c r="P66" s="74"/>
    </row>
    <row r="67">
      <c r="A67" s="44"/>
      <c r="B67" s="46"/>
      <c r="C67" s="77"/>
      <c r="D67" s="92"/>
      <c r="E67" s="91"/>
      <c r="F67" s="91"/>
      <c r="G67" s="91"/>
      <c r="H67" s="91"/>
      <c r="I67" s="91"/>
      <c r="J67" s="91"/>
      <c r="K67" s="91"/>
      <c r="L67" s="91"/>
      <c r="M67" s="46"/>
      <c r="N67" s="46"/>
      <c r="O67" s="46"/>
      <c r="P67" s="91"/>
      <c r="Q67" s="46"/>
      <c r="R67" s="46"/>
      <c r="S67" s="46"/>
      <c r="T67" s="46"/>
      <c r="U67" s="46"/>
      <c r="V67" s="46"/>
      <c r="W67" s="46"/>
      <c r="X67" s="46"/>
      <c r="Y67" s="46"/>
      <c r="Z67" s="46"/>
      <c r="AA67" s="46"/>
      <c r="AB67" s="46"/>
      <c r="AC67" s="46"/>
      <c r="AD67" s="46"/>
      <c r="AE67" s="46"/>
      <c r="AF67" s="46"/>
      <c r="AG67" s="46"/>
      <c r="AH67" s="46"/>
      <c r="AI67" s="46"/>
      <c r="AJ67" s="46"/>
      <c r="AK67" s="46"/>
    </row>
    <row r="68">
      <c r="A68" s="37" t="s">
        <v>55</v>
      </c>
      <c r="B68" s="7" t="s">
        <v>56</v>
      </c>
      <c r="C68" s="85">
        <v>36923.0</v>
      </c>
      <c r="D68" s="29">
        <v>1.0</v>
      </c>
      <c r="E68" s="73">
        <v>15000.0</v>
      </c>
      <c r="F68" s="74"/>
      <c r="G68" s="74"/>
      <c r="H68" s="74"/>
      <c r="I68" s="73">
        <v>54000.0</v>
      </c>
      <c r="J68" s="74"/>
      <c r="K68" s="74"/>
      <c r="L68" s="74"/>
      <c r="P68" s="73">
        <v>2500.0</v>
      </c>
    </row>
    <row r="69">
      <c r="A69" s="37" t="s">
        <v>55</v>
      </c>
      <c r="B69" s="7" t="s">
        <v>56</v>
      </c>
      <c r="C69" s="85">
        <v>37316.0</v>
      </c>
      <c r="D69" s="29">
        <v>2.0</v>
      </c>
      <c r="E69" s="73">
        <v>15000.0</v>
      </c>
      <c r="F69" s="74"/>
      <c r="G69" s="74"/>
      <c r="H69" s="74"/>
      <c r="I69" s="73">
        <v>54000.0</v>
      </c>
      <c r="J69" s="74"/>
      <c r="K69" s="74"/>
      <c r="L69" s="74"/>
      <c r="P69" s="73">
        <v>2500.0</v>
      </c>
    </row>
    <row r="70">
      <c r="A70" s="37" t="s">
        <v>55</v>
      </c>
      <c r="B70" s="7" t="s">
        <v>56</v>
      </c>
      <c r="C70" s="85">
        <v>37712.0</v>
      </c>
      <c r="D70" s="29">
        <v>3.0</v>
      </c>
      <c r="E70" s="73">
        <v>15000.0</v>
      </c>
      <c r="F70" s="74"/>
      <c r="G70" s="74"/>
      <c r="H70" s="74"/>
      <c r="I70" s="73">
        <v>54000.0</v>
      </c>
      <c r="J70" s="74"/>
      <c r="K70" s="74"/>
      <c r="L70" s="74"/>
      <c r="P70" s="73">
        <v>2500.0</v>
      </c>
    </row>
    <row r="71">
      <c r="A71" s="37" t="s">
        <v>55</v>
      </c>
      <c r="B71" s="7" t="s">
        <v>56</v>
      </c>
      <c r="C71" s="85">
        <v>38108.0</v>
      </c>
      <c r="D71" s="29">
        <v>4.0</v>
      </c>
      <c r="E71" s="73">
        <v>15000.0</v>
      </c>
      <c r="F71" s="74"/>
      <c r="G71" s="74"/>
      <c r="H71" s="74"/>
      <c r="I71" s="73">
        <v>54000.0</v>
      </c>
      <c r="J71" s="74"/>
      <c r="K71" s="74"/>
      <c r="L71" s="74"/>
      <c r="P71" s="73">
        <v>2500.0</v>
      </c>
    </row>
    <row r="72">
      <c r="A72" s="37" t="s">
        <v>55</v>
      </c>
      <c r="B72" s="7" t="s">
        <v>56</v>
      </c>
      <c r="C72" s="85">
        <v>38504.0</v>
      </c>
      <c r="D72" s="29">
        <v>5.0</v>
      </c>
      <c r="E72" s="73">
        <v>15000.0</v>
      </c>
      <c r="F72" s="74"/>
      <c r="G72" s="74"/>
      <c r="H72" s="74"/>
      <c r="I72" s="73">
        <v>54000.0</v>
      </c>
      <c r="J72" s="74"/>
      <c r="K72" s="74"/>
      <c r="L72" s="74"/>
      <c r="P72" s="73">
        <v>2500.0</v>
      </c>
    </row>
    <row r="73">
      <c r="A73" s="37" t="s">
        <v>55</v>
      </c>
      <c r="B73" s="7" t="s">
        <v>56</v>
      </c>
      <c r="C73" s="85">
        <v>38899.0</v>
      </c>
      <c r="D73" s="29">
        <v>6.0</v>
      </c>
      <c r="E73" s="73">
        <v>15000.0</v>
      </c>
      <c r="F73" s="74"/>
      <c r="G73" s="74"/>
      <c r="H73" s="74"/>
      <c r="I73" s="73">
        <v>54000.0</v>
      </c>
      <c r="J73" s="74"/>
      <c r="K73" s="74"/>
      <c r="L73" s="74"/>
      <c r="P73" s="73">
        <v>2500.0</v>
      </c>
    </row>
    <row r="74">
      <c r="A74" s="37" t="s">
        <v>55</v>
      </c>
      <c r="B74" s="7" t="s">
        <v>56</v>
      </c>
      <c r="C74" s="85">
        <v>39295.0</v>
      </c>
      <c r="D74" s="29">
        <v>7.0</v>
      </c>
      <c r="E74" s="73">
        <v>18500.0</v>
      </c>
      <c r="F74" s="74"/>
      <c r="G74" s="73"/>
      <c r="H74" s="73">
        <v>81500.0</v>
      </c>
      <c r="I74" s="73">
        <v>60000.0</v>
      </c>
      <c r="J74" s="74"/>
      <c r="K74" s="74"/>
      <c r="L74" s="74"/>
      <c r="P74" s="73">
        <v>2500.0</v>
      </c>
    </row>
    <row r="75">
      <c r="A75" s="37" t="s">
        <v>55</v>
      </c>
      <c r="B75" s="7" t="s">
        <v>56</v>
      </c>
      <c r="C75" s="85">
        <v>39692.0</v>
      </c>
      <c r="D75" s="29">
        <v>8.0</v>
      </c>
      <c r="E75" s="73">
        <v>18500.0</v>
      </c>
      <c r="F75" s="74"/>
      <c r="G75" s="73"/>
      <c r="H75" s="73">
        <v>81500.0</v>
      </c>
      <c r="I75" s="73">
        <v>60000.0</v>
      </c>
      <c r="J75" s="74"/>
      <c r="K75" s="74"/>
      <c r="L75" s="74"/>
      <c r="P75" s="73">
        <v>2500.0</v>
      </c>
    </row>
    <row r="76">
      <c r="A76" s="37" t="s">
        <v>55</v>
      </c>
      <c r="B76" s="7" t="s">
        <v>56</v>
      </c>
      <c r="C76" s="86">
        <v>40087.0</v>
      </c>
      <c r="D76" s="29">
        <v>9.0</v>
      </c>
      <c r="E76" s="73">
        <v>18500.0</v>
      </c>
      <c r="F76" s="74"/>
      <c r="G76" s="73"/>
      <c r="H76" s="73">
        <v>81500.0</v>
      </c>
      <c r="I76" s="73">
        <v>60000.0</v>
      </c>
      <c r="J76" s="74"/>
      <c r="K76" s="74"/>
      <c r="L76" s="74"/>
      <c r="P76" s="73">
        <v>2500.0</v>
      </c>
    </row>
    <row r="77">
      <c r="A77" s="37" t="s">
        <v>55</v>
      </c>
      <c r="B77" s="7" t="s">
        <v>56</v>
      </c>
      <c r="C77" s="86">
        <v>40483.0</v>
      </c>
      <c r="D77" s="29">
        <v>10.0</v>
      </c>
      <c r="E77" s="73">
        <v>18500.0</v>
      </c>
      <c r="F77" s="74"/>
      <c r="G77" s="73"/>
      <c r="H77" s="73">
        <v>81500.0</v>
      </c>
      <c r="I77" s="73">
        <v>60000.0</v>
      </c>
      <c r="J77" s="74"/>
      <c r="K77" s="74"/>
      <c r="L77" s="74"/>
      <c r="P77" s="73">
        <v>2500.0</v>
      </c>
    </row>
    <row r="78">
      <c r="A78" s="37" t="s">
        <v>55</v>
      </c>
      <c r="B78" s="7" t="s">
        <v>56</v>
      </c>
      <c r="C78" s="86">
        <v>40878.0</v>
      </c>
      <c r="D78" s="29">
        <v>11.0</v>
      </c>
      <c r="E78" s="73">
        <v>18500.0</v>
      </c>
      <c r="F78" s="74"/>
      <c r="G78" s="73"/>
      <c r="H78" s="73">
        <v>88476.0</v>
      </c>
      <c r="I78" s="73">
        <v>60000.0</v>
      </c>
      <c r="J78" s="74"/>
      <c r="K78" s="74"/>
      <c r="L78" s="74"/>
      <c r="P78" s="73">
        <v>2500.0</v>
      </c>
    </row>
    <row r="79">
      <c r="A79" s="37" t="s">
        <v>55</v>
      </c>
      <c r="B79" s="7" t="s">
        <v>56</v>
      </c>
      <c r="C79" s="76" t="s">
        <v>236</v>
      </c>
      <c r="D79" s="29">
        <v>12.0</v>
      </c>
      <c r="E79" s="73">
        <v>18500.0</v>
      </c>
      <c r="F79" s="74"/>
      <c r="G79" s="73"/>
      <c r="H79" s="73">
        <v>88476.0</v>
      </c>
      <c r="I79" s="73">
        <v>60000.0</v>
      </c>
      <c r="J79" s="74"/>
      <c r="K79" s="74"/>
      <c r="L79" s="74"/>
      <c r="P79" s="73">
        <v>2500.0</v>
      </c>
    </row>
    <row r="80">
      <c r="A80" s="37" t="s">
        <v>55</v>
      </c>
      <c r="B80" s="7" t="s">
        <v>56</v>
      </c>
      <c r="C80" s="76" t="s">
        <v>237</v>
      </c>
      <c r="D80" s="29">
        <v>13.0</v>
      </c>
      <c r="E80" s="73">
        <v>18500.0</v>
      </c>
      <c r="F80" s="74"/>
      <c r="G80" s="73"/>
      <c r="H80" s="73">
        <v>88476.0</v>
      </c>
      <c r="I80" s="73">
        <v>72000.0</v>
      </c>
      <c r="J80" s="74"/>
      <c r="K80" s="74"/>
      <c r="L80" s="74"/>
      <c r="P80" s="73">
        <v>2500.0</v>
      </c>
    </row>
    <row r="81">
      <c r="A81" s="37" t="s">
        <v>55</v>
      </c>
      <c r="B81" s="7" t="s">
        <v>56</v>
      </c>
      <c r="C81" s="76" t="s">
        <v>238</v>
      </c>
      <c r="D81" s="29">
        <v>14.0</v>
      </c>
      <c r="E81" s="73">
        <v>18500.0</v>
      </c>
      <c r="F81" s="74"/>
      <c r="G81" s="73"/>
      <c r="H81" s="73">
        <v>88476.0</v>
      </c>
      <c r="I81" s="73">
        <v>72000.0</v>
      </c>
      <c r="J81" s="74"/>
      <c r="K81" s="74"/>
      <c r="L81" s="74"/>
      <c r="P81" s="73">
        <v>2500.0</v>
      </c>
    </row>
    <row r="82">
      <c r="A82" s="37" t="s">
        <v>55</v>
      </c>
      <c r="B82" s="7" t="s">
        <v>56</v>
      </c>
      <c r="C82" s="76" t="s">
        <v>239</v>
      </c>
      <c r="D82" s="29">
        <v>15.0</v>
      </c>
      <c r="E82" s="73">
        <v>18500.0</v>
      </c>
      <c r="F82" s="74"/>
      <c r="G82" s="73"/>
      <c r="H82" s="73">
        <v>88476.0</v>
      </c>
      <c r="I82" s="73">
        <v>72000.0</v>
      </c>
      <c r="J82" s="74"/>
      <c r="K82" s="74"/>
      <c r="L82" s="74"/>
      <c r="P82" s="73">
        <v>2500.0</v>
      </c>
    </row>
    <row r="83">
      <c r="A83" s="37" t="s">
        <v>55</v>
      </c>
      <c r="B83" s="7" t="s">
        <v>56</v>
      </c>
      <c r="C83" s="76" t="s">
        <v>240</v>
      </c>
      <c r="D83" s="29">
        <v>16.0</v>
      </c>
      <c r="E83" s="73">
        <v>18500.0</v>
      </c>
      <c r="F83" s="74"/>
      <c r="G83" s="73"/>
      <c r="H83" s="73">
        <v>88476.0</v>
      </c>
      <c r="I83" s="73">
        <v>72000.0</v>
      </c>
      <c r="J83" s="74"/>
      <c r="K83" s="74"/>
      <c r="L83" s="74"/>
      <c r="P83" s="73">
        <v>2500.0</v>
      </c>
    </row>
    <row r="84">
      <c r="A84" s="44"/>
      <c r="B84" s="46"/>
      <c r="C84" s="77"/>
      <c r="D84" s="92"/>
      <c r="E84" s="91"/>
      <c r="F84" s="91"/>
      <c r="G84" s="91"/>
      <c r="H84" s="91"/>
      <c r="I84" s="91"/>
      <c r="J84" s="91"/>
      <c r="K84" s="91"/>
      <c r="L84" s="91"/>
      <c r="M84" s="46"/>
      <c r="N84" s="46"/>
      <c r="O84" s="46"/>
      <c r="P84" s="91"/>
      <c r="Q84" s="46"/>
      <c r="R84" s="46"/>
      <c r="S84" s="46"/>
      <c r="T84" s="46"/>
      <c r="U84" s="46"/>
      <c r="V84" s="46"/>
      <c r="W84" s="46"/>
      <c r="X84" s="46"/>
      <c r="Y84" s="46"/>
      <c r="Z84" s="46"/>
      <c r="AA84" s="46"/>
      <c r="AB84" s="46"/>
      <c r="AC84" s="46"/>
      <c r="AD84" s="46"/>
      <c r="AE84" s="46"/>
      <c r="AF84" s="46"/>
      <c r="AG84" s="46"/>
      <c r="AH84" s="46"/>
      <c r="AI84" s="46"/>
      <c r="AJ84" s="46"/>
      <c r="AK84" s="46"/>
    </row>
    <row r="85">
      <c r="A85" s="5" t="s">
        <v>59</v>
      </c>
      <c r="B85" s="7" t="s">
        <v>60</v>
      </c>
      <c r="C85" s="76" t="s">
        <v>237</v>
      </c>
      <c r="D85" s="29">
        <v>1.0</v>
      </c>
      <c r="E85" s="73">
        <v>4000.0</v>
      </c>
      <c r="F85" s="74"/>
      <c r="G85" s="74"/>
      <c r="H85" s="74"/>
      <c r="I85" s="74"/>
      <c r="J85" s="74"/>
      <c r="L85" s="73">
        <v>1000.0</v>
      </c>
      <c r="M85" s="95">
        <v>10000.0</v>
      </c>
      <c r="P85" s="74"/>
    </row>
    <row r="86">
      <c r="A86" s="5" t="s">
        <v>59</v>
      </c>
      <c r="B86" s="7" t="s">
        <v>60</v>
      </c>
      <c r="C86" s="76" t="s">
        <v>238</v>
      </c>
      <c r="D86" s="29">
        <v>2.0</v>
      </c>
      <c r="E86" s="73">
        <v>4000.0</v>
      </c>
      <c r="F86" s="74"/>
      <c r="G86" s="74"/>
      <c r="H86" s="74"/>
      <c r="I86" s="74"/>
      <c r="J86" s="74"/>
      <c r="L86" s="73">
        <v>1000.0</v>
      </c>
      <c r="M86" s="95">
        <v>10000.0</v>
      </c>
      <c r="P86" s="74"/>
    </row>
    <row r="87">
      <c r="A87" s="5" t="s">
        <v>59</v>
      </c>
      <c r="B87" s="7" t="s">
        <v>60</v>
      </c>
      <c r="C87" s="76" t="s">
        <v>239</v>
      </c>
      <c r="D87" s="29">
        <v>3.0</v>
      </c>
      <c r="E87" s="73">
        <v>4000.0</v>
      </c>
      <c r="F87" s="74"/>
      <c r="G87" s="74"/>
      <c r="H87" s="74"/>
      <c r="I87" s="74"/>
      <c r="J87" s="74"/>
      <c r="L87" s="73">
        <v>1000.0</v>
      </c>
      <c r="M87" s="95">
        <v>10000.0</v>
      </c>
      <c r="P87" s="74"/>
    </row>
    <row r="88">
      <c r="A88" s="5" t="s">
        <v>59</v>
      </c>
      <c r="B88" s="7" t="s">
        <v>60</v>
      </c>
      <c r="C88" s="76" t="s">
        <v>240</v>
      </c>
      <c r="D88" s="29">
        <v>4.0</v>
      </c>
      <c r="E88" s="73">
        <v>4000.0</v>
      </c>
      <c r="F88" s="74"/>
      <c r="G88" s="74"/>
      <c r="H88" s="74"/>
      <c r="I88" s="74"/>
      <c r="J88" s="74"/>
      <c r="L88" s="73">
        <v>1000.0</v>
      </c>
      <c r="M88" s="95">
        <v>10000.0</v>
      </c>
      <c r="P88" s="74"/>
    </row>
    <row r="89">
      <c r="A89" s="5" t="s">
        <v>59</v>
      </c>
      <c r="B89" s="7" t="s">
        <v>60</v>
      </c>
      <c r="C89" s="76" t="s">
        <v>241</v>
      </c>
      <c r="D89" s="29">
        <v>5.0</v>
      </c>
      <c r="E89" s="73">
        <v>4000.0</v>
      </c>
      <c r="F89" s="74"/>
      <c r="G89" s="74"/>
      <c r="H89" s="74"/>
      <c r="I89" s="74"/>
      <c r="J89" s="74"/>
      <c r="L89" s="73">
        <v>1000.0</v>
      </c>
      <c r="M89" s="95">
        <v>10000.0</v>
      </c>
      <c r="P89" s="74"/>
    </row>
    <row r="90">
      <c r="A90" s="44"/>
      <c r="B90" s="46"/>
      <c r="C90" s="77"/>
      <c r="D90" s="92"/>
      <c r="E90" s="91"/>
      <c r="F90" s="91"/>
      <c r="G90" s="91"/>
      <c r="H90" s="91"/>
      <c r="I90" s="91"/>
      <c r="J90" s="91"/>
      <c r="K90" s="91"/>
      <c r="L90" s="91"/>
      <c r="M90" s="46"/>
      <c r="N90" s="46"/>
      <c r="O90" s="46"/>
      <c r="P90" s="91"/>
      <c r="Q90" s="46"/>
      <c r="R90" s="46"/>
      <c r="S90" s="46"/>
      <c r="T90" s="46"/>
      <c r="U90" s="46"/>
      <c r="V90" s="46"/>
      <c r="W90" s="46"/>
      <c r="X90" s="46"/>
      <c r="Y90" s="46"/>
      <c r="Z90" s="46"/>
      <c r="AA90" s="46"/>
      <c r="AB90" s="46"/>
      <c r="AC90" s="46"/>
      <c r="AD90" s="46"/>
      <c r="AE90" s="46"/>
      <c r="AF90" s="46"/>
      <c r="AG90" s="46"/>
      <c r="AH90" s="46"/>
      <c r="AI90" s="46"/>
      <c r="AJ90" s="46"/>
      <c r="AK90" s="46"/>
    </row>
    <row r="91">
      <c r="A91" s="37" t="s">
        <v>62</v>
      </c>
      <c r="B91" s="7" t="s">
        <v>63</v>
      </c>
      <c r="C91" s="85">
        <v>39692.0</v>
      </c>
      <c r="D91" s="29">
        <v>1.0</v>
      </c>
      <c r="E91" s="67">
        <v>20000.0</v>
      </c>
      <c r="F91" s="74"/>
      <c r="G91" s="74"/>
      <c r="H91" s="74"/>
      <c r="I91" s="74"/>
      <c r="J91" s="74"/>
      <c r="K91" s="74"/>
      <c r="L91" s="74"/>
      <c r="P91" s="74"/>
    </row>
    <row r="92">
      <c r="A92" s="37" t="s">
        <v>62</v>
      </c>
      <c r="B92" s="7" t="s">
        <v>63</v>
      </c>
      <c r="C92" s="86">
        <v>40087.0</v>
      </c>
      <c r="D92" s="29">
        <v>2.0</v>
      </c>
      <c r="E92" s="67">
        <v>15000.0</v>
      </c>
      <c r="F92" s="74"/>
      <c r="G92" s="74"/>
      <c r="H92" s="74"/>
      <c r="I92" s="74"/>
      <c r="J92" s="74"/>
      <c r="K92" s="74"/>
      <c r="L92" s="74"/>
      <c r="P92" s="74"/>
    </row>
    <row r="93">
      <c r="A93" s="37" t="s">
        <v>62</v>
      </c>
      <c r="B93" s="7" t="s">
        <v>63</v>
      </c>
      <c r="C93" s="86">
        <v>40483.0</v>
      </c>
      <c r="D93" s="29">
        <v>3.0</v>
      </c>
      <c r="E93" s="67">
        <v>15000.0</v>
      </c>
      <c r="F93" s="74"/>
      <c r="G93" s="74"/>
      <c r="H93" s="74"/>
      <c r="I93" s="74"/>
      <c r="J93" s="74"/>
      <c r="K93" s="74"/>
      <c r="L93" s="74"/>
      <c r="P93" s="74"/>
    </row>
    <row r="94">
      <c r="A94" s="37" t="s">
        <v>62</v>
      </c>
      <c r="B94" s="7" t="s">
        <v>63</v>
      </c>
      <c r="C94" s="86">
        <v>40878.0</v>
      </c>
      <c r="D94" s="29">
        <v>4.0</v>
      </c>
      <c r="E94" s="67">
        <v>15000.0</v>
      </c>
      <c r="F94" s="74"/>
      <c r="G94" s="74"/>
      <c r="H94" s="74"/>
      <c r="I94" s="74"/>
      <c r="J94" s="74"/>
      <c r="K94" s="74"/>
      <c r="L94" s="74"/>
      <c r="P94" s="74"/>
    </row>
    <row r="95">
      <c r="A95" s="37" t="s">
        <v>62</v>
      </c>
      <c r="B95" s="7" t="s">
        <v>63</v>
      </c>
      <c r="C95" s="76" t="s">
        <v>236</v>
      </c>
      <c r="D95" s="29">
        <v>5.0</v>
      </c>
      <c r="E95" s="67">
        <v>15000.0</v>
      </c>
      <c r="F95" s="74"/>
      <c r="G95" s="74"/>
      <c r="H95" s="74"/>
      <c r="I95" s="74"/>
      <c r="J95" s="74"/>
      <c r="K95" s="74"/>
      <c r="L95" s="74"/>
      <c r="P95" s="74"/>
    </row>
    <row r="96">
      <c r="A96" s="37" t="s">
        <v>62</v>
      </c>
      <c r="B96" s="7" t="s">
        <v>63</v>
      </c>
      <c r="C96" s="76" t="s">
        <v>237</v>
      </c>
      <c r="D96" s="29">
        <v>6.0</v>
      </c>
      <c r="E96" s="67">
        <v>15000.0</v>
      </c>
      <c r="F96" s="74"/>
      <c r="G96" s="74"/>
      <c r="H96" s="74"/>
      <c r="I96" s="74"/>
      <c r="J96" s="74"/>
      <c r="K96" s="74"/>
      <c r="L96" s="74"/>
      <c r="P96" s="74"/>
    </row>
    <row r="97">
      <c r="A97" s="37" t="s">
        <v>62</v>
      </c>
      <c r="B97" s="7" t="s">
        <v>63</v>
      </c>
      <c r="C97" s="76" t="s">
        <v>238</v>
      </c>
      <c r="D97" s="29">
        <v>7.0</v>
      </c>
      <c r="E97" s="67">
        <v>15000.0</v>
      </c>
      <c r="F97" s="74"/>
      <c r="G97" s="74"/>
      <c r="H97" s="74"/>
      <c r="I97" s="74"/>
      <c r="J97" s="74"/>
      <c r="K97" s="74"/>
      <c r="L97" s="74"/>
      <c r="P97" s="74"/>
    </row>
    <row r="98">
      <c r="A98" s="37" t="s">
        <v>62</v>
      </c>
      <c r="B98" s="7" t="s">
        <v>63</v>
      </c>
      <c r="C98" s="76" t="s">
        <v>239</v>
      </c>
      <c r="D98" s="29">
        <v>8.0</v>
      </c>
      <c r="E98" s="67">
        <v>15000.0</v>
      </c>
      <c r="F98" s="74"/>
      <c r="G98" s="74"/>
      <c r="H98" s="74"/>
      <c r="I98" s="74"/>
      <c r="J98" s="74"/>
      <c r="K98" s="74"/>
      <c r="L98" s="74"/>
      <c r="P98" s="74"/>
    </row>
    <row r="99">
      <c r="A99" s="37" t="s">
        <v>62</v>
      </c>
      <c r="B99" s="7" t="s">
        <v>63</v>
      </c>
      <c r="C99" s="76" t="s">
        <v>240</v>
      </c>
      <c r="D99" s="29">
        <v>9.0</v>
      </c>
      <c r="E99" s="67">
        <v>15000.0</v>
      </c>
      <c r="F99" s="74"/>
      <c r="G99" s="74"/>
      <c r="H99" s="74"/>
      <c r="I99" s="74"/>
      <c r="J99" s="74"/>
      <c r="K99" s="74"/>
      <c r="L99" s="74"/>
      <c r="P99" s="74"/>
    </row>
    <row r="100">
      <c r="A100" s="44"/>
      <c r="B100" s="46"/>
      <c r="C100" s="77"/>
      <c r="D100" s="92"/>
      <c r="E100" s="91"/>
      <c r="F100" s="91"/>
      <c r="G100" s="91"/>
      <c r="H100" s="91"/>
      <c r="I100" s="91"/>
      <c r="J100" s="91"/>
      <c r="K100" s="91"/>
      <c r="L100" s="91"/>
      <c r="M100" s="46"/>
      <c r="N100" s="46"/>
      <c r="O100" s="46"/>
      <c r="P100" s="91"/>
      <c r="Q100" s="46"/>
      <c r="R100" s="46"/>
      <c r="S100" s="46"/>
      <c r="T100" s="46"/>
      <c r="U100" s="46"/>
      <c r="V100" s="46"/>
      <c r="W100" s="46"/>
      <c r="X100" s="46"/>
      <c r="Y100" s="46"/>
      <c r="Z100" s="46"/>
      <c r="AA100" s="46"/>
      <c r="AB100" s="46"/>
      <c r="AC100" s="46"/>
      <c r="AD100" s="46"/>
      <c r="AE100" s="46"/>
      <c r="AF100" s="46"/>
      <c r="AG100" s="46"/>
      <c r="AH100" s="46"/>
      <c r="AI100" s="46"/>
      <c r="AJ100" s="46"/>
      <c r="AK100" s="46"/>
    </row>
    <row r="101">
      <c r="A101" s="37" t="s">
        <v>67</v>
      </c>
      <c r="B101" s="7" t="s">
        <v>68</v>
      </c>
      <c r="C101" s="76" t="s">
        <v>236</v>
      </c>
      <c r="D101" s="29">
        <v>1.0</v>
      </c>
      <c r="E101" s="94">
        <v>10000.0</v>
      </c>
      <c r="F101" s="74"/>
      <c r="G101" s="74"/>
      <c r="H101" s="74"/>
      <c r="I101" s="74"/>
      <c r="J101" s="74"/>
      <c r="K101" s="74"/>
      <c r="L101" s="74"/>
      <c r="P101" s="74"/>
    </row>
    <row r="102">
      <c r="A102" s="37" t="s">
        <v>67</v>
      </c>
      <c r="B102" s="7" t="s">
        <v>68</v>
      </c>
      <c r="C102" s="76" t="s">
        <v>237</v>
      </c>
      <c r="D102" s="29">
        <v>2.0</v>
      </c>
      <c r="E102" s="94">
        <v>10000.0</v>
      </c>
      <c r="F102" s="74"/>
      <c r="G102" s="74"/>
      <c r="H102" s="74"/>
      <c r="I102" s="74"/>
      <c r="J102" s="74"/>
      <c r="K102" s="74"/>
      <c r="L102" s="74"/>
      <c r="P102" s="74"/>
    </row>
    <row r="103">
      <c r="A103" s="37" t="s">
        <v>67</v>
      </c>
      <c r="B103" s="7" t="s">
        <v>68</v>
      </c>
      <c r="C103" s="76" t="s">
        <v>238</v>
      </c>
      <c r="D103" s="29">
        <v>3.0</v>
      </c>
      <c r="E103" s="94">
        <v>10000.0</v>
      </c>
      <c r="F103" s="74"/>
      <c r="G103" s="74"/>
      <c r="H103" s="74"/>
      <c r="I103" s="74"/>
      <c r="J103" s="74"/>
      <c r="K103" s="74"/>
      <c r="L103" s="74"/>
      <c r="P103" s="74"/>
    </row>
    <row r="104">
      <c r="A104" s="37" t="s">
        <v>67</v>
      </c>
      <c r="B104" s="7" t="s">
        <v>68</v>
      </c>
      <c r="C104" s="76" t="s">
        <v>239</v>
      </c>
      <c r="D104" s="29">
        <v>4.0</v>
      </c>
      <c r="E104" s="94">
        <v>10000.0</v>
      </c>
      <c r="F104" s="74"/>
      <c r="G104" s="74"/>
      <c r="H104" s="74"/>
      <c r="I104" s="74"/>
      <c r="J104" s="74"/>
      <c r="K104" s="74"/>
      <c r="L104" s="74"/>
      <c r="P104" s="74"/>
    </row>
    <row r="105">
      <c r="A105" s="37" t="s">
        <v>67</v>
      </c>
      <c r="B105" s="7" t="s">
        <v>68</v>
      </c>
      <c r="C105" s="76" t="s">
        <v>240</v>
      </c>
      <c r="D105" s="29">
        <v>5.0</v>
      </c>
      <c r="E105" s="94">
        <v>10000.0</v>
      </c>
      <c r="F105" s="74"/>
      <c r="G105" s="74"/>
      <c r="H105" s="74"/>
      <c r="I105" s="74"/>
      <c r="J105" s="74"/>
      <c r="K105" s="74"/>
      <c r="L105" s="74"/>
      <c r="P105" s="74"/>
    </row>
    <row r="106">
      <c r="A106" s="44"/>
      <c r="B106" s="46"/>
      <c r="C106" s="77"/>
      <c r="D106" s="92"/>
      <c r="E106" s="91"/>
      <c r="F106" s="91"/>
      <c r="G106" s="91"/>
      <c r="H106" s="91"/>
      <c r="I106" s="91"/>
      <c r="J106" s="91"/>
      <c r="K106" s="91"/>
      <c r="L106" s="91"/>
      <c r="M106" s="46"/>
      <c r="N106" s="46"/>
      <c r="O106" s="46"/>
      <c r="P106" s="91"/>
      <c r="Q106" s="46"/>
      <c r="R106" s="46"/>
      <c r="S106" s="46"/>
      <c r="T106" s="46"/>
      <c r="U106" s="46"/>
      <c r="V106" s="46"/>
      <c r="W106" s="46"/>
      <c r="X106" s="46"/>
      <c r="Y106" s="46"/>
      <c r="Z106" s="46"/>
      <c r="AA106" s="46"/>
      <c r="AB106" s="46"/>
      <c r="AC106" s="46"/>
      <c r="AD106" s="46"/>
      <c r="AE106" s="46"/>
      <c r="AF106" s="46"/>
      <c r="AG106" s="46"/>
      <c r="AH106" s="46"/>
      <c r="AI106" s="46"/>
      <c r="AJ106" s="46"/>
      <c r="AK106" s="46"/>
    </row>
    <row r="107">
      <c r="A107" s="37" t="s">
        <v>71</v>
      </c>
      <c r="B107" s="7" t="s">
        <v>208</v>
      </c>
      <c r="C107" s="86">
        <v>40483.0</v>
      </c>
      <c r="D107" s="29">
        <v>1.0</v>
      </c>
      <c r="E107" s="73">
        <v>12000.0</v>
      </c>
      <c r="F107" s="74"/>
      <c r="G107" s="74"/>
      <c r="H107" s="74"/>
      <c r="I107" s="74"/>
      <c r="J107" s="74"/>
      <c r="K107" s="74"/>
      <c r="L107" s="74"/>
      <c r="P107" s="74"/>
    </row>
    <row r="108">
      <c r="A108" s="37" t="s">
        <v>71</v>
      </c>
      <c r="B108" s="7" t="s">
        <v>208</v>
      </c>
      <c r="C108" s="86">
        <v>40878.0</v>
      </c>
      <c r="D108" s="29">
        <v>2.0</v>
      </c>
      <c r="E108" s="73">
        <v>12000.0</v>
      </c>
      <c r="F108" s="74"/>
      <c r="G108" s="74"/>
      <c r="H108" s="74"/>
      <c r="I108" s="74"/>
      <c r="J108" s="74"/>
      <c r="K108" s="74"/>
      <c r="L108" s="74"/>
      <c r="P108" s="74"/>
    </row>
    <row r="109">
      <c r="A109" s="37" t="s">
        <v>71</v>
      </c>
      <c r="B109" s="7" t="s">
        <v>208</v>
      </c>
      <c r="C109" s="76" t="s">
        <v>236</v>
      </c>
      <c r="D109" s="29">
        <v>3.0</v>
      </c>
      <c r="E109" s="73">
        <v>12000.0</v>
      </c>
      <c r="F109" s="74"/>
      <c r="G109" s="74"/>
      <c r="H109" s="74"/>
      <c r="I109" s="74"/>
      <c r="J109" s="74"/>
      <c r="K109" s="74"/>
      <c r="L109" s="74"/>
      <c r="P109" s="74"/>
    </row>
    <row r="110">
      <c r="A110" s="37" t="s">
        <v>71</v>
      </c>
      <c r="B110" s="7" t="s">
        <v>208</v>
      </c>
      <c r="C110" s="76" t="s">
        <v>237</v>
      </c>
      <c r="D110" s="29">
        <v>4.0</v>
      </c>
      <c r="E110" s="73">
        <v>12000.0</v>
      </c>
      <c r="F110" s="74"/>
      <c r="G110" s="74"/>
      <c r="H110" s="74"/>
      <c r="I110" s="74"/>
      <c r="J110" s="74"/>
      <c r="K110" s="74"/>
      <c r="L110" s="74"/>
      <c r="P110" s="74"/>
    </row>
    <row r="111">
      <c r="A111" s="37" t="s">
        <v>71</v>
      </c>
      <c r="B111" s="7" t="s">
        <v>208</v>
      </c>
      <c r="C111" s="76" t="s">
        <v>238</v>
      </c>
      <c r="D111" s="29">
        <v>5.0</v>
      </c>
      <c r="E111" s="73">
        <v>12000.0</v>
      </c>
      <c r="F111" s="74"/>
      <c r="G111" s="74"/>
      <c r="H111" s="74"/>
      <c r="I111" s="74"/>
      <c r="J111" s="74"/>
      <c r="K111" s="74"/>
      <c r="L111" s="74"/>
      <c r="P111" s="74"/>
    </row>
    <row r="112">
      <c r="A112" s="37" t="s">
        <v>71</v>
      </c>
      <c r="B112" s="7" t="s">
        <v>208</v>
      </c>
      <c r="C112" s="76" t="s">
        <v>239</v>
      </c>
      <c r="D112" s="29">
        <v>6.0</v>
      </c>
      <c r="E112" s="73">
        <v>12000.0</v>
      </c>
      <c r="F112" s="73">
        <v>37800.0</v>
      </c>
      <c r="G112" s="74"/>
      <c r="H112" s="74"/>
      <c r="I112" s="74"/>
      <c r="J112" s="74"/>
      <c r="K112" s="74"/>
      <c r="L112" s="74"/>
      <c r="P112" s="74"/>
    </row>
    <row r="113">
      <c r="A113" s="37" t="s">
        <v>71</v>
      </c>
      <c r="B113" s="7" t="s">
        <v>208</v>
      </c>
      <c r="C113" s="76" t="s">
        <v>240</v>
      </c>
      <c r="D113" s="29">
        <v>7.0</v>
      </c>
      <c r="E113" s="73">
        <v>5000.0</v>
      </c>
      <c r="F113" s="73">
        <v>37800.0</v>
      </c>
      <c r="G113" s="74"/>
      <c r="H113" s="73">
        <v>3000.0</v>
      </c>
      <c r="I113" s="74"/>
      <c r="J113" s="74"/>
      <c r="K113" s="74"/>
      <c r="L113" s="74"/>
      <c r="N113" s="95">
        <v>5000.0</v>
      </c>
      <c r="P113" s="74"/>
    </row>
    <row r="114">
      <c r="A114" s="37" t="s">
        <v>71</v>
      </c>
      <c r="B114" s="7" t="s">
        <v>208</v>
      </c>
      <c r="C114" s="76" t="s">
        <v>241</v>
      </c>
      <c r="D114" s="29">
        <v>8.0</v>
      </c>
      <c r="E114" s="73">
        <v>5000.0</v>
      </c>
      <c r="F114" s="73">
        <v>37800.0</v>
      </c>
      <c r="G114" s="74"/>
      <c r="H114" s="73">
        <v>3000.0</v>
      </c>
      <c r="I114" s="74"/>
      <c r="J114" s="74"/>
      <c r="K114" s="74"/>
      <c r="L114" s="74"/>
      <c r="N114" s="95">
        <v>5000.0</v>
      </c>
      <c r="P114" s="74"/>
    </row>
    <row r="115">
      <c r="A115" s="37" t="s">
        <v>71</v>
      </c>
      <c r="B115" s="7" t="s">
        <v>208</v>
      </c>
      <c r="C115" s="76" t="s">
        <v>242</v>
      </c>
      <c r="D115" s="29">
        <v>9.0</v>
      </c>
      <c r="E115" s="73">
        <v>5000.0</v>
      </c>
      <c r="F115" s="73">
        <v>37800.0</v>
      </c>
      <c r="G115" s="74"/>
      <c r="H115" s="73">
        <v>3000.0</v>
      </c>
      <c r="I115" s="74"/>
      <c r="J115" s="74"/>
      <c r="K115" s="74"/>
      <c r="L115" s="74"/>
      <c r="N115" s="95">
        <v>5000.0</v>
      </c>
      <c r="P115" s="74"/>
    </row>
    <row r="116">
      <c r="A116" s="37" t="s">
        <v>71</v>
      </c>
      <c r="B116" s="7" t="s">
        <v>208</v>
      </c>
      <c r="C116" s="76" t="s">
        <v>243</v>
      </c>
      <c r="D116" s="29">
        <v>10.0</v>
      </c>
      <c r="E116" s="73">
        <v>5000.0</v>
      </c>
      <c r="F116" s="73">
        <v>37800.0</v>
      </c>
      <c r="G116" s="74"/>
      <c r="H116" s="73">
        <v>3000.0</v>
      </c>
      <c r="I116" s="74"/>
      <c r="J116" s="74"/>
      <c r="K116" s="74"/>
      <c r="L116" s="74"/>
      <c r="N116" s="95">
        <v>5000.0</v>
      </c>
      <c r="P116" s="74"/>
    </row>
    <row r="117">
      <c r="A117" s="37" t="s">
        <v>71</v>
      </c>
      <c r="B117" s="7" t="s">
        <v>208</v>
      </c>
      <c r="C117" s="76" t="s">
        <v>244</v>
      </c>
      <c r="D117" s="29">
        <v>11.0</v>
      </c>
      <c r="E117" s="73">
        <v>5000.0</v>
      </c>
      <c r="F117" s="73"/>
      <c r="G117" s="74"/>
      <c r="H117" s="73">
        <v>3000.0</v>
      </c>
      <c r="I117" s="74"/>
      <c r="J117" s="74"/>
      <c r="K117" s="74"/>
      <c r="L117" s="74"/>
      <c r="N117" s="95">
        <v>5000.0</v>
      </c>
      <c r="P117" s="74"/>
    </row>
    <row r="118">
      <c r="A118" s="44"/>
      <c r="B118" s="46"/>
      <c r="C118" s="77"/>
      <c r="D118" s="92"/>
      <c r="E118" s="91"/>
      <c r="F118" s="91"/>
      <c r="G118" s="91"/>
      <c r="H118" s="91"/>
      <c r="I118" s="91"/>
      <c r="J118" s="91"/>
      <c r="K118" s="91"/>
      <c r="L118" s="91"/>
      <c r="M118" s="46"/>
      <c r="N118" s="46"/>
      <c r="O118" s="46"/>
      <c r="P118" s="91"/>
      <c r="Q118" s="46"/>
      <c r="R118" s="46"/>
      <c r="S118" s="46"/>
      <c r="T118" s="46"/>
      <c r="U118" s="46"/>
      <c r="V118" s="46"/>
      <c r="W118" s="46"/>
      <c r="X118" s="46"/>
      <c r="Y118" s="46"/>
      <c r="Z118" s="46"/>
      <c r="AA118" s="46"/>
      <c r="AB118" s="46"/>
      <c r="AC118" s="46"/>
      <c r="AD118" s="46"/>
      <c r="AE118" s="46"/>
      <c r="AF118" s="46"/>
      <c r="AG118" s="46"/>
      <c r="AH118" s="46"/>
      <c r="AI118" s="46"/>
      <c r="AJ118" s="46"/>
      <c r="AK118" s="46"/>
    </row>
    <row r="119">
      <c r="A119" s="37" t="s">
        <v>75</v>
      </c>
      <c r="B119" s="6" t="s">
        <v>76</v>
      </c>
      <c r="C119" s="85">
        <v>38504.0</v>
      </c>
      <c r="D119" s="29">
        <v>1.0</v>
      </c>
      <c r="E119" s="73">
        <v>27000.0</v>
      </c>
      <c r="F119" s="74"/>
      <c r="G119" s="74"/>
      <c r="H119" s="74"/>
      <c r="I119" s="74"/>
      <c r="J119" s="74"/>
      <c r="K119" s="74"/>
      <c r="L119" s="74"/>
      <c r="P119" s="74"/>
    </row>
    <row r="120">
      <c r="A120" s="37" t="s">
        <v>75</v>
      </c>
      <c r="B120" s="6" t="s">
        <v>76</v>
      </c>
      <c r="C120" s="85">
        <v>38899.0</v>
      </c>
      <c r="D120" s="29">
        <v>2.0</v>
      </c>
      <c r="E120" s="73">
        <v>20000.0</v>
      </c>
      <c r="F120" s="74"/>
      <c r="G120" s="74"/>
      <c r="H120" s="74"/>
      <c r="I120" s="74"/>
      <c r="J120" s="74"/>
      <c r="K120" s="74"/>
      <c r="L120" s="74"/>
      <c r="P120" s="74"/>
    </row>
    <row r="121">
      <c r="A121" s="37" t="s">
        <v>75</v>
      </c>
      <c r="B121" s="6" t="s">
        <v>76</v>
      </c>
      <c r="C121" s="85">
        <v>39295.0</v>
      </c>
      <c r="D121" s="29">
        <v>3.0</v>
      </c>
      <c r="E121" s="73">
        <v>20000.0</v>
      </c>
      <c r="F121" s="74"/>
      <c r="G121" s="74"/>
      <c r="H121" s="74"/>
      <c r="I121" s="74"/>
      <c r="J121" s="74"/>
      <c r="K121" s="74"/>
      <c r="L121" s="74"/>
      <c r="P121" s="74"/>
    </row>
    <row r="122">
      <c r="A122" s="37" t="s">
        <v>75</v>
      </c>
      <c r="B122" s="6" t="s">
        <v>76</v>
      </c>
      <c r="C122" s="85">
        <v>39692.0</v>
      </c>
      <c r="D122" s="29">
        <v>4.0</v>
      </c>
      <c r="E122" s="73">
        <v>20000.0</v>
      </c>
      <c r="F122" s="74"/>
      <c r="G122" s="74"/>
      <c r="H122" s="74"/>
      <c r="I122" s="74"/>
      <c r="J122" s="74"/>
      <c r="K122" s="74"/>
      <c r="L122" s="74"/>
      <c r="P122" s="74"/>
    </row>
    <row r="123">
      <c r="A123" s="37" t="s">
        <v>75</v>
      </c>
      <c r="B123" s="6" t="s">
        <v>76</v>
      </c>
      <c r="C123" s="86">
        <v>40087.0</v>
      </c>
      <c r="D123" s="29">
        <v>5.0</v>
      </c>
      <c r="E123" s="73">
        <v>20000.0</v>
      </c>
      <c r="F123" s="74"/>
      <c r="G123" s="74"/>
      <c r="H123" s="74"/>
      <c r="I123" s="74"/>
      <c r="J123" s="74"/>
      <c r="K123" s="74"/>
      <c r="L123" s="74"/>
      <c r="P123" s="74"/>
    </row>
    <row r="124">
      <c r="A124" s="37" t="s">
        <v>75</v>
      </c>
      <c r="B124" s="6" t="s">
        <v>76</v>
      </c>
      <c r="C124" s="86">
        <v>40483.0</v>
      </c>
      <c r="D124" s="29">
        <v>6.0</v>
      </c>
      <c r="E124" s="73">
        <v>20000.0</v>
      </c>
      <c r="F124" s="74"/>
      <c r="G124" s="74"/>
      <c r="H124" s="74"/>
      <c r="I124" s="74"/>
      <c r="J124" s="74"/>
      <c r="K124" s="74"/>
      <c r="L124" s="74"/>
      <c r="P124" s="74"/>
    </row>
    <row r="125">
      <c r="A125" s="37" t="s">
        <v>75</v>
      </c>
      <c r="B125" s="6" t="s">
        <v>76</v>
      </c>
      <c r="C125" s="86">
        <v>40878.0</v>
      </c>
      <c r="D125" s="29">
        <v>7.0</v>
      </c>
      <c r="E125" s="73">
        <v>20000.0</v>
      </c>
      <c r="F125" s="74"/>
      <c r="G125" s="74"/>
      <c r="H125" s="74"/>
      <c r="I125" s="74"/>
      <c r="J125" s="74"/>
      <c r="K125" s="74"/>
      <c r="L125" s="74"/>
      <c r="P125" s="74"/>
    </row>
    <row r="126">
      <c r="A126" s="37" t="s">
        <v>75</v>
      </c>
      <c r="B126" s="6" t="s">
        <v>76</v>
      </c>
      <c r="C126" s="76" t="s">
        <v>236</v>
      </c>
      <c r="D126" s="29">
        <v>8.0</v>
      </c>
      <c r="E126" s="73">
        <v>20000.0</v>
      </c>
      <c r="F126" s="74"/>
      <c r="G126" s="74"/>
      <c r="H126" s="74"/>
      <c r="I126" s="74"/>
      <c r="J126" s="74"/>
      <c r="K126" s="74"/>
      <c r="L126" s="74"/>
      <c r="P126" s="74"/>
    </row>
    <row r="127">
      <c r="A127" s="37" t="s">
        <v>75</v>
      </c>
      <c r="B127" s="6" t="s">
        <v>76</v>
      </c>
      <c r="C127" s="76" t="s">
        <v>237</v>
      </c>
      <c r="D127" s="29">
        <v>9.0</v>
      </c>
      <c r="E127" s="73">
        <v>20000.0</v>
      </c>
      <c r="F127" s="74"/>
      <c r="G127" s="74"/>
      <c r="H127" s="74"/>
      <c r="I127" s="74"/>
      <c r="J127" s="74"/>
      <c r="K127" s="74"/>
      <c r="L127" s="74"/>
      <c r="P127" s="74"/>
    </row>
    <row r="128">
      <c r="A128" s="37" t="s">
        <v>75</v>
      </c>
      <c r="B128" s="6" t="s">
        <v>76</v>
      </c>
      <c r="C128" s="76" t="s">
        <v>238</v>
      </c>
      <c r="D128" s="29">
        <v>10.0</v>
      </c>
      <c r="E128" s="73">
        <v>20000.0</v>
      </c>
      <c r="F128" s="74"/>
      <c r="G128" s="74"/>
      <c r="H128" s="74"/>
      <c r="I128" s="74"/>
      <c r="J128" s="74"/>
      <c r="K128" s="74"/>
      <c r="L128" s="74"/>
      <c r="P128" s="74"/>
    </row>
    <row r="129">
      <c r="A129" s="37" t="s">
        <v>75</v>
      </c>
      <c r="B129" s="6" t="s">
        <v>76</v>
      </c>
      <c r="C129" s="76" t="s">
        <v>239</v>
      </c>
      <c r="D129" s="29">
        <v>11.0</v>
      </c>
      <c r="E129" s="73">
        <v>20000.0</v>
      </c>
      <c r="F129" s="74"/>
      <c r="G129" s="74"/>
      <c r="H129" s="74"/>
      <c r="I129" s="74"/>
      <c r="J129" s="74"/>
      <c r="K129" s="74"/>
      <c r="L129" s="74"/>
      <c r="P129" s="74"/>
    </row>
    <row r="130">
      <c r="A130" s="37" t="s">
        <v>75</v>
      </c>
      <c r="B130" s="6" t="s">
        <v>76</v>
      </c>
      <c r="C130" s="76" t="s">
        <v>240</v>
      </c>
      <c r="D130" s="29">
        <v>12.0</v>
      </c>
      <c r="E130" s="73">
        <v>20000.0</v>
      </c>
      <c r="F130" s="74"/>
      <c r="G130" s="74"/>
      <c r="H130" s="74"/>
      <c r="I130" s="74"/>
      <c r="J130" s="74"/>
      <c r="K130" s="74"/>
      <c r="L130" s="74"/>
      <c r="P130" s="74"/>
    </row>
    <row r="131">
      <c r="A131" s="44"/>
      <c r="B131" s="46"/>
      <c r="C131" s="77"/>
      <c r="D131" s="92"/>
      <c r="E131" s="91"/>
      <c r="F131" s="91"/>
      <c r="G131" s="91"/>
      <c r="H131" s="91"/>
      <c r="I131" s="91"/>
      <c r="J131" s="91"/>
      <c r="K131" s="91"/>
      <c r="L131" s="91"/>
      <c r="M131" s="46"/>
      <c r="N131" s="46"/>
      <c r="O131" s="46"/>
      <c r="P131" s="91"/>
      <c r="Q131" s="46"/>
      <c r="R131" s="46"/>
      <c r="S131" s="46"/>
      <c r="T131" s="46"/>
      <c r="U131" s="46"/>
      <c r="V131" s="46"/>
      <c r="W131" s="46"/>
      <c r="X131" s="46"/>
      <c r="Y131" s="46"/>
      <c r="Z131" s="46"/>
      <c r="AA131" s="46"/>
      <c r="AB131" s="46"/>
      <c r="AC131" s="46"/>
      <c r="AD131" s="46"/>
      <c r="AE131" s="46"/>
      <c r="AF131" s="46"/>
      <c r="AG131" s="46"/>
      <c r="AH131" s="46"/>
      <c r="AI131" s="46"/>
      <c r="AJ131" s="46"/>
      <c r="AK131" s="46"/>
    </row>
    <row r="132">
      <c r="A132" s="37" t="s">
        <v>78</v>
      </c>
      <c r="B132" s="7" t="s">
        <v>79</v>
      </c>
      <c r="C132" s="96" t="s">
        <v>239</v>
      </c>
      <c r="D132" s="29">
        <v>1.0</v>
      </c>
      <c r="E132" s="67">
        <v>15000.0</v>
      </c>
      <c r="F132" s="74"/>
      <c r="G132" s="74"/>
      <c r="H132" s="74"/>
      <c r="I132" s="74"/>
      <c r="J132" s="74"/>
      <c r="K132" s="74"/>
      <c r="L132" s="74"/>
      <c r="P132" s="74"/>
      <c r="X132" s="6"/>
      <c r="Y132" s="6" t="s">
        <v>209</v>
      </c>
    </row>
    <row r="133">
      <c r="A133" s="37" t="s">
        <v>78</v>
      </c>
      <c r="B133" s="7" t="s">
        <v>79</v>
      </c>
      <c r="C133" s="76" t="s">
        <v>240</v>
      </c>
      <c r="D133" s="29">
        <v>2.0</v>
      </c>
      <c r="E133" s="97">
        <v>10000.0</v>
      </c>
      <c r="F133" s="74"/>
      <c r="G133" s="74"/>
      <c r="H133" s="74"/>
      <c r="I133" s="74"/>
      <c r="J133" s="74"/>
      <c r="K133" s="74"/>
      <c r="L133" s="74"/>
      <c r="P133" s="74"/>
      <c r="X133" s="6"/>
      <c r="Y133" s="6" t="s">
        <v>209</v>
      </c>
    </row>
    <row r="134">
      <c r="A134" s="37" t="s">
        <v>78</v>
      </c>
      <c r="B134" s="7" t="s">
        <v>79</v>
      </c>
      <c r="C134" s="76" t="s">
        <v>241</v>
      </c>
      <c r="D134" s="29">
        <v>3.0</v>
      </c>
      <c r="E134" s="97">
        <v>10000.0</v>
      </c>
      <c r="F134" s="74"/>
      <c r="G134" s="74"/>
      <c r="H134" s="74"/>
      <c r="I134" s="74"/>
      <c r="J134" s="74"/>
      <c r="K134" s="74"/>
      <c r="L134" s="74"/>
      <c r="P134" s="74"/>
      <c r="X134" s="6"/>
      <c r="Y134" s="6" t="s">
        <v>209</v>
      </c>
    </row>
    <row r="135">
      <c r="A135" s="37" t="s">
        <v>78</v>
      </c>
      <c r="B135" s="7" t="s">
        <v>79</v>
      </c>
      <c r="C135" s="76" t="s">
        <v>242</v>
      </c>
      <c r="D135" s="29">
        <v>4.0</v>
      </c>
      <c r="E135" s="97">
        <v>10000.0</v>
      </c>
      <c r="F135" s="74"/>
      <c r="G135" s="74"/>
      <c r="H135" s="74"/>
      <c r="I135" s="74"/>
      <c r="J135" s="74"/>
      <c r="K135" s="74"/>
      <c r="L135" s="74"/>
      <c r="P135" s="74"/>
      <c r="X135" s="6"/>
      <c r="Y135" s="6" t="s">
        <v>209</v>
      </c>
    </row>
    <row r="136">
      <c r="A136" s="37" t="s">
        <v>78</v>
      </c>
      <c r="B136" s="7" t="s">
        <v>79</v>
      </c>
      <c r="C136" s="76" t="s">
        <v>243</v>
      </c>
      <c r="D136" s="29">
        <v>5.0</v>
      </c>
      <c r="E136" s="97">
        <v>10000.0</v>
      </c>
      <c r="F136" s="74"/>
      <c r="G136" s="74"/>
      <c r="H136" s="74"/>
      <c r="I136" s="74"/>
      <c r="J136" s="74"/>
      <c r="K136" s="74"/>
      <c r="L136" s="74"/>
      <c r="P136" s="74"/>
      <c r="X136" s="6"/>
      <c r="Y136" s="6" t="s">
        <v>209</v>
      </c>
    </row>
    <row r="137">
      <c r="A137" s="44"/>
      <c r="B137" s="46"/>
      <c r="C137" s="77"/>
      <c r="D137" s="92"/>
      <c r="E137" s="91"/>
      <c r="F137" s="91"/>
      <c r="G137" s="91"/>
      <c r="H137" s="91"/>
      <c r="I137" s="91"/>
      <c r="J137" s="91"/>
      <c r="K137" s="91"/>
      <c r="L137" s="91"/>
      <c r="M137" s="46"/>
      <c r="N137" s="46"/>
      <c r="O137" s="46"/>
      <c r="P137" s="91"/>
      <c r="Q137" s="46"/>
      <c r="R137" s="46"/>
      <c r="S137" s="46"/>
      <c r="T137" s="46"/>
      <c r="U137" s="46"/>
      <c r="V137" s="46"/>
      <c r="W137" s="46"/>
      <c r="X137" s="46"/>
      <c r="Y137" s="46"/>
      <c r="Z137" s="46"/>
      <c r="AA137" s="46"/>
      <c r="AB137" s="46"/>
      <c r="AC137" s="46"/>
      <c r="AD137" s="46"/>
      <c r="AE137" s="46"/>
      <c r="AF137" s="46"/>
      <c r="AG137" s="46"/>
      <c r="AH137" s="46"/>
      <c r="AI137" s="46"/>
      <c r="AJ137" s="46"/>
      <c r="AK137" s="46"/>
    </row>
    <row r="138">
      <c r="A138" s="37" t="s">
        <v>81</v>
      </c>
      <c r="B138" s="7" t="s">
        <v>82</v>
      </c>
      <c r="C138" s="76" t="s">
        <v>238</v>
      </c>
      <c r="D138" s="29">
        <v>1.0</v>
      </c>
      <c r="E138" s="73">
        <v>10000.0</v>
      </c>
      <c r="F138" s="74"/>
      <c r="G138" s="74"/>
      <c r="H138" s="74"/>
      <c r="I138" s="73">
        <v>7200.0</v>
      </c>
      <c r="J138" s="74"/>
      <c r="K138" s="74"/>
      <c r="L138" s="74"/>
      <c r="P138" s="74"/>
    </row>
    <row r="139">
      <c r="A139" s="37" t="s">
        <v>81</v>
      </c>
      <c r="B139" s="7" t="s">
        <v>82</v>
      </c>
      <c r="C139" s="76" t="s">
        <v>239</v>
      </c>
      <c r="D139" s="29">
        <v>2.0</v>
      </c>
      <c r="E139" s="73">
        <v>10000.0</v>
      </c>
      <c r="F139" s="74"/>
      <c r="G139" s="74"/>
      <c r="H139" s="74"/>
      <c r="I139" s="73">
        <v>7200.0</v>
      </c>
      <c r="J139" s="74"/>
      <c r="K139" s="74"/>
      <c r="L139" s="74"/>
      <c r="P139" s="74"/>
    </row>
    <row r="140">
      <c r="A140" s="37" t="s">
        <v>81</v>
      </c>
      <c r="B140" s="7" t="s">
        <v>82</v>
      </c>
      <c r="C140" s="76" t="s">
        <v>240</v>
      </c>
      <c r="D140" s="29">
        <v>3.0</v>
      </c>
      <c r="E140" s="73">
        <v>10000.0</v>
      </c>
      <c r="F140" s="74"/>
      <c r="G140" s="74"/>
      <c r="H140" s="74"/>
      <c r="I140" s="73">
        <v>7200.0</v>
      </c>
      <c r="J140" s="74"/>
      <c r="K140" s="74"/>
      <c r="L140" s="74"/>
      <c r="P140" s="74"/>
    </row>
    <row r="141">
      <c r="A141" s="37" t="s">
        <v>81</v>
      </c>
      <c r="B141" s="7" t="s">
        <v>82</v>
      </c>
      <c r="C141" s="76" t="s">
        <v>241</v>
      </c>
      <c r="D141" s="29">
        <v>4.0</v>
      </c>
      <c r="E141" s="73">
        <v>10000.0</v>
      </c>
      <c r="F141" s="74"/>
      <c r="G141" s="74"/>
      <c r="H141" s="74"/>
      <c r="I141" s="73">
        <v>7200.0</v>
      </c>
      <c r="J141" s="74"/>
      <c r="K141" s="74"/>
      <c r="L141" s="74"/>
      <c r="P141" s="74"/>
    </row>
    <row r="142">
      <c r="A142" s="37" t="s">
        <v>81</v>
      </c>
      <c r="B142" s="7" t="s">
        <v>82</v>
      </c>
      <c r="C142" s="76" t="s">
        <v>242</v>
      </c>
      <c r="D142" s="29">
        <v>5.0</v>
      </c>
      <c r="E142" s="73">
        <v>10000.0</v>
      </c>
      <c r="F142" s="74"/>
      <c r="G142" s="74"/>
      <c r="H142" s="74"/>
      <c r="I142" s="73">
        <v>7200.0</v>
      </c>
      <c r="J142" s="74"/>
      <c r="K142" s="74"/>
      <c r="L142" s="74"/>
      <c r="P142" s="74"/>
    </row>
    <row r="143">
      <c r="A143" s="44"/>
      <c r="B143" s="46"/>
      <c r="C143" s="77"/>
      <c r="D143" s="92"/>
      <c r="E143" s="91"/>
      <c r="F143" s="91"/>
      <c r="G143" s="91"/>
      <c r="H143" s="91"/>
      <c r="I143" s="91"/>
      <c r="J143" s="91"/>
      <c r="K143" s="91"/>
      <c r="L143" s="91"/>
      <c r="M143" s="46"/>
      <c r="N143" s="46"/>
      <c r="O143" s="46"/>
      <c r="P143" s="91"/>
      <c r="Q143" s="46"/>
      <c r="R143" s="46"/>
      <c r="S143" s="46"/>
      <c r="T143" s="46"/>
      <c r="U143" s="46"/>
      <c r="V143" s="46"/>
      <c r="W143" s="46"/>
      <c r="X143" s="46"/>
      <c r="Y143" s="46"/>
      <c r="Z143" s="46"/>
      <c r="AA143" s="46"/>
      <c r="AB143" s="46"/>
      <c r="AC143" s="46"/>
      <c r="AD143" s="46"/>
      <c r="AE143" s="46"/>
      <c r="AF143" s="46"/>
      <c r="AG143" s="46"/>
      <c r="AH143" s="46"/>
      <c r="AI143" s="46"/>
      <c r="AJ143" s="46"/>
      <c r="AK143" s="46"/>
    </row>
    <row r="144">
      <c r="A144" s="5" t="s">
        <v>84</v>
      </c>
      <c r="B144" s="7" t="s">
        <v>85</v>
      </c>
      <c r="C144" s="76" t="s">
        <v>237</v>
      </c>
      <c r="D144" s="29">
        <v>1.0</v>
      </c>
      <c r="E144" s="73">
        <v>20000.0</v>
      </c>
      <c r="F144" s="74"/>
      <c r="G144" s="74"/>
      <c r="H144" s="74"/>
      <c r="I144" s="74"/>
      <c r="J144" s="74"/>
      <c r="K144" s="74"/>
      <c r="L144" s="74"/>
      <c r="O144" s="64">
        <v>11000.0</v>
      </c>
      <c r="P144" s="74"/>
      <c r="Q144" s="64">
        <v>15000.0</v>
      </c>
      <c r="R144" s="64"/>
      <c r="S144" s="64"/>
      <c r="T144" s="64"/>
      <c r="U144" s="64">
        <v>6500.0</v>
      </c>
    </row>
    <row r="145">
      <c r="A145" s="5" t="s">
        <v>84</v>
      </c>
      <c r="B145" s="7" t="s">
        <v>85</v>
      </c>
      <c r="C145" s="76" t="s">
        <v>238</v>
      </c>
      <c r="D145" s="29">
        <v>2.0</v>
      </c>
      <c r="E145" s="73">
        <v>20000.0</v>
      </c>
      <c r="F145" s="74"/>
      <c r="G145" s="74"/>
      <c r="H145" s="74"/>
      <c r="I145" s="74"/>
      <c r="J145" s="74"/>
      <c r="K145" s="74"/>
      <c r="L145" s="74"/>
      <c r="O145" s="64">
        <v>11000.0</v>
      </c>
      <c r="P145" s="74"/>
    </row>
    <row r="146">
      <c r="A146" s="5" t="s">
        <v>84</v>
      </c>
      <c r="B146" s="7" t="s">
        <v>85</v>
      </c>
      <c r="C146" s="76" t="s">
        <v>239</v>
      </c>
      <c r="D146" s="29">
        <v>3.0</v>
      </c>
      <c r="E146" s="73">
        <v>20000.0</v>
      </c>
      <c r="F146" s="74"/>
      <c r="G146" s="74"/>
      <c r="H146" s="74"/>
      <c r="I146" s="74"/>
      <c r="J146" s="74"/>
      <c r="K146" s="74"/>
      <c r="L146" s="74"/>
      <c r="O146" s="64">
        <v>11000.0</v>
      </c>
      <c r="P146" s="74"/>
    </row>
    <row r="147">
      <c r="A147" s="5" t="s">
        <v>84</v>
      </c>
      <c r="B147" s="7" t="s">
        <v>85</v>
      </c>
      <c r="C147" s="76" t="s">
        <v>240</v>
      </c>
      <c r="D147" s="29">
        <v>4.0</v>
      </c>
      <c r="E147" s="73">
        <v>20000.0</v>
      </c>
      <c r="F147" s="74"/>
      <c r="G147" s="74"/>
      <c r="H147" s="74"/>
      <c r="I147" s="74"/>
      <c r="J147" s="74"/>
      <c r="K147" s="74"/>
      <c r="L147" s="74"/>
      <c r="O147" s="64">
        <v>11000.0</v>
      </c>
      <c r="P147" s="74"/>
    </row>
    <row r="148">
      <c r="A148" s="5" t="s">
        <v>84</v>
      </c>
      <c r="B148" s="7" t="s">
        <v>85</v>
      </c>
      <c r="C148" s="76" t="s">
        <v>241</v>
      </c>
      <c r="D148" s="29">
        <v>5.0</v>
      </c>
      <c r="E148" s="73">
        <v>20000.0</v>
      </c>
      <c r="F148" s="74"/>
      <c r="G148" s="74"/>
      <c r="H148" s="74"/>
      <c r="I148" s="74"/>
      <c r="J148" s="74"/>
      <c r="K148" s="74"/>
      <c r="L148" s="74"/>
      <c r="O148" s="64">
        <v>11000.0</v>
      </c>
      <c r="P148" s="74"/>
    </row>
    <row r="149">
      <c r="A149" s="44"/>
      <c r="B149" s="46"/>
      <c r="C149" s="77"/>
      <c r="D149" s="92"/>
      <c r="E149" s="91"/>
      <c r="F149" s="91"/>
      <c r="G149" s="91"/>
      <c r="H149" s="91"/>
      <c r="I149" s="91"/>
      <c r="J149" s="91"/>
      <c r="K149" s="91"/>
      <c r="L149" s="91"/>
      <c r="M149" s="46"/>
      <c r="N149" s="46"/>
      <c r="O149" s="46"/>
      <c r="P149" s="91"/>
      <c r="Q149" s="46"/>
      <c r="R149" s="46"/>
      <c r="S149" s="46"/>
      <c r="T149" s="46"/>
      <c r="U149" s="46"/>
      <c r="V149" s="46"/>
      <c r="W149" s="46"/>
      <c r="X149" s="46"/>
      <c r="Y149" s="46"/>
      <c r="Z149" s="46"/>
      <c r="AA149" s="46"/>
      <c r="AB149" s="46"/>
      <c r="AC149" s="46"/>
      <c r="AD149" s="46"/>
      <c r="AE149" s="46"/>
      <c r="AF149" s="46"/>
      <c r="AG149" s="46"/>
      <c r="AH149" s="46"/>
      <c r="AI149" s="46"/>
      <c r="AJ149" s="46"/>
      <c r="AK149" s="46"/>
    </row>
    <row r="150">
      <c r="A150" s="37" t="s">
        <v>87</v>
      </c>
      <c r="B150" s="7" t="s">
        <v>88</v>
      </c>
      <c r="C150" s="86">
        <v>40483.0</v>
      </c>
      <c r="D150" s="29">
        <v>1.0</v>
      </c>
      <c r="E150" s="73">
        <v>15000.0</v>
      </c>
      <c r="F150" s="74"/>
      <c r="G150" s="74"/>
      <c r="H150" s="74"/>
      <c r="I150" s="74"/>
      <c r="J150" s="74"/>
      <c r="K150" s="74"/>
      <c r="L150" s="74"/>
      <c r="O150" s="64">
        <v>15000.0</v>
      </c>
      <c r="P150" s="74"/>
    </row>
    <row r="151">
      <c r="A151" s="37" t="s">
        <v>87</v>
      </c>
      <c r="B151" s="7" t="s">
        <v>88</v>
      </c>
      <c r="C151" s="86">
        <v>40878.0</v>
      </c>
      <c r="D151" s="29">
        <v>2.0</v>
      </c>
      <c r="E151" s="73">
        <v>15000.0</v>
      </c>
      <c r="F151" s="74"/>
      <c r="G151" s="74"/>
      <c r="H151" s="74"/>
      <c r="I151" s="74"/>
      <c r="J151" s="74"/>
      <c r="K151" s="74"/>
      <c r="L151" s="74"/>
      <c r="O151" s="64">
        <v>15000.0</v>
      </c>
      <c r="P151" s="74"/>
    </row>
    <row r="152">
      <c r="A152" s="37" t="s">
        <v>87</v>
      </c>
      <c r="B152" s="7" t="s">
        <v>88</v>
      </c>
      <c r="C152" s="76" t="s">
        <v>236</v>
      </c>
      <c r="D152" s="29">
        <v>3.0</v>
      </c>
      <c r="E152" s="73">
        <v>15000.0</v>
      </c>
      <c r="F152" s="74"/>
      <c r="G152" s="74"/>
      <c r="H152" s="74"/>
      <c r="I152" s="74"/>
      <c r="J152" s="74"/>
      <c r="K152" s="74"/>
      <c r="L152" s="74"/>
      <c r="O152" s="64">
        <v>15000.0</v>
      </c>
      <c r="P152" s="74"/>
    </row>
    <row r="153">
      <c r="A153" s="37" t="s">
        <v>87</v>
      </c>
      <c r="B153" s="7" t="s">
        <v>88</v>
      </c>
      <c r="C153" s="76" t="s">
        <v>237</v>
      </c>
      <c r="D153" s="29">
        <v>4.0</v>
      </c>
      <c r="E153" s="73">
        <v>15000.0</v>
      </c>
      <c r="F153" s="74"/>
      <c r="G153" s="74"/>
      <c r="H153" s="74"/>
      <c r="I153" s="74"/>
      <c r="J153" s="74"/>
      <c r="K153" s="74"/>
      <c r="L153" s="74"/>
      <c r="O153" s="64">
        <v>15000.0</v>
      </c>
      <c r="P153" s="74"/>
    </row>
    <row r="154">
      <c r="A154" s="37" t="s">
        <v>87</v>
      </c>
      <c r="B154" s="7" t="s">
        <v>88</v>
      </c>
      <c r="C154" s="76" t="s">
        <v>238</v>
      </c>
      <c r="D154" s="29">
        <v>5.0</v>
      </c>
      <c r="E154" s="73">
        <v>15000.0</v>
      </c>
      <c r="F154" s="74"/>
      <c r="G154" s="74"/>
      <c r="H154" s="74"/>
      <c r="I154" s="74"/>
      <c r="J154" s="74"/>
      <c r="K154" s="74"/>
      <c r="L154" s="74"/>
      <c r="O154" s="64">
        <v>15000.0</v>
      </c>
      <c r="P154" s="74"/>
    </row>
    <row r="155">
      <c r="A155" s="37" t="s">
        <v>87</v>
      </c>
      <c r="B155" s="7" t="s">
        <v>88</v>
      </c>
      <c r="C155" s="76" t="s">
        <v>239</v>
      </c>
      <c r="D155" s="29">
        <v>6.0</v>
      </c>
      <c r="E155" s="73">
        <v>15000.0</v>
      </c>
      <c r="F155" s="74"/>
      <c r="G155" s="74"/>
      <c r="H155" s="74"/>
      <c r="I155" s="74"/>
      <c r="J155" s="74"/>
      <c r="K155" s="74"/>
      <c r="L155" s="74"/>
      <c r="O155" s="64">
        <v>15000.0</v>
      </c>
      <c r="P155" s="74"/>
    </row>
    <row r="156">
      <c r="A156" s="37" t="s">
        <v>87</v>
      </c>
      <c r="B156" s="7" t="s">
        <v>88</v>
      </c>
      <c r="C156" s="76" t="s">
        <v>240</v>
      </c>
      <c r="D156" s="29">
        <v>7.0</v>
      </c>
      <c r="E156" s="73">
        <v>15000.0</v>
      </c>
      <c r="F156" s="74"/>
      <c r="G156" s="74"/>
      <c r="H156" s="74"/>
      <c r="I156" s="74"/>
      <c r="J156" s="74"/>
      <c r="K156" s="74"/>
      <c r="L156" s="74"/>
      <c r="O156" s="64">
        <v>15000.0</v>
      </c>
      <c r="P156" s="74"/>
    </row>
    <row r="157">
      <c r="A157" s="37" t="s">
        <v>87</v>
      </c>
      <c r="B157" s="7" t="s">
        <v>88</v>
      </c>
      <c r="C157" s="76" t="s">
        <v>241</v>
      </c>
      <c r="D157" s="29">
        <v>8.0</v>
      </c>
      <c r="E157" s="73">
        <v>15000.0</v>
      </c>
      <c r="F157" s="74"/>
      <c r="G157" s="74"/>
      <c r="H157" s="74"/>
      <c r="I157" s="74"/>
      <c r="J157" s="74"/>
      <c r="K157" s="74"/>
      <c r="L157" s="74"/>
      <c r="O157" s="64">
        <v>15000.0</v>
      </c>
      <c r="P157" s="74"/>
    </row>
    <row r="158">
      <c r="A158" s="37" t="s">
        <v>87</v>
      </c>
      <c r="B158" s="7" t="s">
        <v>88</v>
      </c>
      <c r="C158" s="76" t="s">
        <v>242</v>
      </c>
      <c r="D158" s="29">
        <v>9.0</v>
      </c>
      <c r="E158" s="73">
        <v>15000.0</v>
      </c>
      <c r="F158" s="74"/>
      <c r="G158" s="74"/>
      <c r="H158" s="74"/>
      <c r="I158" s="74"/>
      <c r="J158" s="74"/>
      <c r="K158" s="74"/>
      <c r="L158" s="74"/>
      <c r="O158" s="64">
        <v>15000.0</v>
      </c>
      <c r="P158" s="74"/>
    </row>
    <row r="159">
      <c r="A159" s="37" t="s">
        <v>87</v>
      </c>
      <c r="B159" s="7" t="s">
        <v>88</v>
      </c>
      <c r="C159" s="76" t="s">
        <v>243</v>
      </c>
      <c r="D159" s="29">
        <v>10.0</v>
      </c>
      <c r="E159" s="73">
        <v>15000.0</v>
      </c>
      <c r="F159" s="74"/>
      <c r="G159" s="74"/>
      <c r="H159" s="74"/>
      <c r="I159" s="74"/>
      <c r="J159" s="74"/>
      <c r="K159" s="74"/>
      <c r="L159" s="74"/>
      <c r="O159" s="64">
        <v>15000.0</v>
      </c>
      <c r="P159" s="74"/>
    </row>
    <row r="160">
      <c r="A160" s="44"/>
      <c r="B160" s="46"/>
      <c r="C160" s="77"/>
      <c r="D160" s="92"/>
      <c r="E160" s="91"/>
      <c r="F160" s="91"/>
      <c r="G160" s="91"/>
      <c r="H160" s="91"/>
      <c r="I160" s="91"/>
      <c r="J160" s="91"/>
      <c r="K160" s="91"/>
      <c r="L160" s="91"/>
      <c r="M160" s="46"/>
      <c r="N160" s="46"/>
      <c r="O160" s="46"/>
      <c r="P160" s="91"/>
      <c r="Q160" s="46"/>
      <c r="R160" s="46"/>
      <c r="S160" s="46"/>
      <c r="T160" s="46"/>
      <c r="U160" s="46"/>
      <c r="V160" s="46"/>
      <c r="W160" s="46"/>
      <c r="X160" s="46"/>
      <c r="Y160" s="46"/>
      <c r="Z160" s="46"/>
      <c r="AA160" s="46"/>
      <c r="AB160" s="46"/>
      <c r="AC160" s="46"/>
      <c r="AD160" s="46"/>
      <c r="AE160" s="46"/>
      <c r="AF160" s="46"/>
      <c r="AG160" s="46"/>
      <c r="AH160" s="46"/>
      <c r="AI160" s="46"/>
      <c r="AJ160" s="46"/>
      <c r="AK160" s="46"/>
    </row>
    <row r="161">
      <c r="A161" s="5" t="s">
        <v>92</v>
      </c>
      <c r="B161" s="7" t="s">
        <v>93</v>
      </c>
      <c r="C161" s="85">
        <v>39692.0</v>
      </c>
      <c r="D161" s="29">
        <v>1.0</v>
      </c>
      <c r="E161" s="73">
        <v>34576.0</v>
      </c>
      <c r="F161" s="74"/>
      <c r="G161" s="74"/>
      <c r="H161" s="74"/>
      <c r="I161" s="74"/>
      <c r="J161" s="74"/>
      <c r="K161" s="74"/>
      <c r="L161" s="74"/>
      <c r="P161" s="74"/>
    </row>
    <row r="162">
      <c r="A162" s="5" t="s">
        <v>92</v>
      </c>
      <c r="B162" s="7" t="s">
        <v>93</v>
      </c>
      <c r="C162" s="86">
        <v>40087.0</v>
      </c>
      <c r="D162" s="29">
        <v>2.0</v>
      </c>
      <c r="E162" s="73">
        <v>34576.0</v>
      </c>
      <c r="F162" s="74"/>
      <c r="G162" s="74"/>
      <c r="H162" s="74"/>
      <c r="I162" s="74"/>
      <c r="J162" s="74"/>
      <c r="K162" s="74"/>
      <c r="L162" s="74"/>
      <c r="P162" s="74"/>
    </row>
    <row r="163">
      <c r="A163" s="5" t="s">
        <v>92</v>
      </c>
      <c r="B163" s="7" t="s">
        <v>93</v>
      </c>
      <c r="C163" s="86">
        <v>40483.0</v>
      </c>
      <c r="D163" s="29">
        <v>3.0</v>
      </c>
      <c r="E163" s="73">
        <v>34576.0</v>
      </c>
      <c r="F163" s="74"/>
      <c r="G163" s="74"/>
      <c r="H163" s="74"/>
      <c r="I163" s="74"/>
      <c r="J163" s="74"/>
      <c r="K163" s="74"/>
      <c r="L163" s="74"/>
      <c r="P163" s="74"/>
    </row>
    <row r="164">
      <c r="A164" s="5" t="s">
        <v>92</v>
      </c>
      <c r="B164" s="7" t="s">
        <v>93</v>
      </c>
      <c r="C164" s="86">
        <v>40878.0</v>
      </c>
      <c r="D164" s="29">
        <v>4.0</v>
      </c>
      <c r="E164" s="73">
        <v>34576.0</v>
      </c>
      <c r="F164" s="74"/>
      <c r="G164" s="74"/>
      <c r="H164" s="74"/>
      <c r="I164" s="74"/>
      <c r="J164" s="74"/>
      <c r="K164" s="74"/>
      <c r="L164" s="74"/>
      <c r="P164" s="74"/>
    </row>
    <row r="165">
      <c r="A165" s="5" t="s">
        <v>92</v>
      </c>
      <c r="B165" s="7" t="s">
        <v>93</v>
      </c>
      <c r="C165" s="76" t="s">
        <v>236</v>
      </c>
      <c r="D165" s="29">
        <v>5.0</v>
      </c>
      <c r="E165" s="73">
        <v>34576.0</v>
      </c>
      <c r="F165" s="74"/>
      <c r="G165" s="74"/>
      <c r="H165" s="74"/>
      <c r="I165" s="74"/>
      <c r="J165" s="74"/>
      <c r="K165" s="74"/>
      <c r="L165" s="74"/>
      <c r="P165" s="74"/>
    </row>
    <row r="166">
      <c r="A166" s="5" t="s">
        <v>92</v>
      </c>
      <c r="B166" s="7" t="s">
        <v>93</v>
      </c>
      <c r="C166" s="76" t="s">
        <v>237</v>
      </c>
      <c r="D166" s="29">
        <v>6.0</v>
      </c>
      <c r="E166" s="73">
        <v>10000.0</v>
      </c>
      <c r="F166" s="74"/>
      <c r="G166" s="74"/>
      <c r="H166" s="74"/>
      <c r="I166" s="74"/>
      <c r="J166" s="74"/>
      <c r="K166" s="74"/>
      <c r="L166" s="74"/>
      <c r="O166" s="95">
        <v>10000.0</v>
      </c>
      <c r="P166" s="74"/>
    </row>
    <row r="167">
      <c r="A167" s="5" t="s">
        <v>92</v>
      </c>
      <c r="B167" s="7" t="s">
        <v>93</v>
      </c>
      <c r="C167" s="76" t="s">
        <v>238</v>
      </c>
      <c r="D167" s="29">
        <v>7.0</v>
      </c>
      <c r="E167" s="73">
        <v>10000.0</v>
      </c>
      <c r="F167" s="74"/>
      <c r="G167" s="74"/>
      <c r="H167" s="74"/>
      <c r="I167" s="74"/>
      <c r="J167" s="74"/>
      <c r="K167" s="74"/>
      <c r="L167" s="74"/>
      <c r="O167" s="95">
        <v>10000.0</v>
      </c>
      <c r="P167" s="74"/>
    </row>
    <row r="168">
      <c r="A168" s="5" t="s">
        <v>92</v>
      </c>
      <c r="B168" s="7" t="s">
        <v>93</v>
      </c>
      <c r="C168" s="76" t="s">
        <v>239</v>
      </c>
      <c r="D168" s="29">
        <v>8.0</v>
      </c>
      <c r="E168" s="73">
        <v>10000.0</v>
      </c>
      <c r="F168" s="74"/>
      <c r="G168" s="74"/>
      <c r="H168" s="74"/>
      <c r="I168" s="74"/>
      <c r="J168" s="74"/>
      <c r="K168" s="74"/>
      <c r="L168" s="74"/>
      <c r="O168" s="95">
        <v>10000.0</v>
      </c>
      <c r="P168" s="74"/>
    </row>
    <row r="169">
      <c r="A169" s="5" t="s">
        <v>92</v>
      </c>
      <c r="B169" s="7" t="s">
        <v>93</v>
      </c>
      <c r="C169" s="76" t="s">
        <v>240</v>
      </c>
      <c r="D169" s="29">
        <v>9.0</v>
      </c>
      <c r="E169" s="73">
        <v>10000.0</v>
      </c>
      <c r="F169" s="74"/>
      <c r="G169" s="74"/>
      <c r="H169" s="74"/>
      <c r="I169" s="74"/>
      <c r="J169" s="74"/>
      <c r="K169" s="74"/>
      <c r="L169" s="74"/>
      <c r="O169" s="95">
        <v>10000.0</v>
      </c>
      <c r="P169" s="74"/>
    </row>
    <row r="170">
      <c r="A170" s="5" t="s">
        <v>92</v>
      </c>
      <c r="B170" s="7" t="s">
        <v>93</v>
      </c>
      <c r="C170" s="76" t="s">
        <v>241</v>
      </c>
      <c r="D170" s="29">
        <v>10.0</v>
      </c>
      <c r="E170" s="73">
        <v>10000.0</v>
      </c>
      <c r="F170" s="74"/>
      <c r="G170" s="74"/>
      <c r="H170" s="74"/>
      <c r="I170" s="74"/>
      <c r="J170" s="74"/>
      <c r="K170" s="74"/>
      <c r="L170" s="74"/>
      <c r="O170" s="95">
        <v>10000.0</v>
      </c>
      <c r="P170" s="74"/>
    </row>
    <row r="171">
      <c r="A171" s="44"/>
      <c r="B171" s="46"/>
      <c r="C171" s="77"/>
      <c r="D171" s="92"/>
      <c r="E171" s="91"/>
      <c r="F171" s="91"/>
      <c r="G171" s="91"/>
      <c r="H171" s="91"/>
      <c r="I171" s="91"/>
      <c r="J171" s="91"/>
      <c r="K171" s="91"/>
      <c r="L171" s="91"/>
      <c r="M171" s="46"/>
      <c r="N171" s="46"/>
      <c r="O171" s="46"/>
      <c r="P171" s="91"/>
      <c r="Q171" s="46"/>
      <c r="R171" s="46"/>
      <c r="S171" s="46"/>
      <c r="T171" s="46"/>
      <c r="U171" s="46"/>
      <c r="V171" s="46"/>
      <c r="W171" s="46"/>
      <c r="X171" s="46"/>
      <c r="Y171" s="46"/>
      <c r="Z171" s="46"/>
      <c r="AA171" s="46"/>
      <c r="AB171" s="46"/>
      <c r="AC171" s="46"/>
      <c r="AD171" s="46"/>
      <c r="AE171" s="46"/>
      <c r="AF171" s="46"/>
      <c r="AG171" s="46"/>
      <c r="AH171" s="46"/>
      <c r="AI171" s="46"/>
      <c r="AJ171" s="46"/>
      <c r="AK171" s="46"/>
    </row>
    <row r="172">
      <c r="A172" s="5" t="s">
        <v>95</v>
      </c>
      <c r="B172" s="7" t="s">
        <v>96</v>
      </c>
      <c r="C172" s="86">
        <v>40878.0</v>
      </c>
      <c r="D172" s="29">
        <v>1.0</v>
      </c>
      <c r="E172" s="73">
        <v>20000.0</v>
      </c>
      <c r="F172" s="74"/>
      <c r="G172" s="73">
        <v>52000.0</v>
      </c>
      <c r="H172" s="74"/>
      <c r="I172" s="74"/>
      <c r="J172" s="74"/>
      <c r="K172" s="74"/>
      <c r="L172" s="74"/>
      <c r="M172" s="73">
        <v>30000.0</v>
      </c>
      <c r="O172" s="73">
        <v>42500.0</v>
      </c>
      <c r="P172" s="74"/>
      <c r="V172" s="73"/>
      <c r="W172" s="73">
        <v>30000.0</v>
      </c>
    </row>
    <row r="173">
      <c r="A173" s="5" t="s">
        <v>95</v>
      </c>
      <c r="B173" s="7" t="s">
        <v>96</v>
      </c>
      <c r="C173" s="76" t="s">
        <v>236</v>
      </c>
      <c r="D173" s="29">
        <v>2.0</v>
      </c>
      <c r="E173" s="73">
        <v>12500.0</v>
      </c>
      <c r="F173" s="74"/>
      <c r="G173" s="73">
        <v>52000.0</v>
      </c>
      <c r="H173" s="74"/>
      <c r="I173" s="74"/>
      <c r="J173" s="74"/>
      <c r="K173" s="74"/>
      <c r="L173" s="74"/>
      <c r="M173" s="73">
        <v>15000.0</v>
      </c>
      <c r="O173" s="73">
        <v>10000.0</v>
      </c>
      <c r="P173" s="74"/>
      <c r="V173" s="73"/>
      <c r="W173" s="73">
        <v>30000.0</v>
      </c>
    </row>
    <row r="174">
      <c r="A174" s="5" t="s">
        <v>95</v>
      </c>
      <c r="B174" s="7" t="s">
        <v>96</v>
      </c>
      <c r="C174" s="76" t="s">
        <v>237</v>
      </c>
      <c r="D174" s="29">
        <v>3.0</v>
      </c>
      <c r="E174" s="73">
        <v>10000.0</v>
      </c>
      <c r="F174" s="74"/>
      <c r="G174" s="73">
        <v>52000.0</v>
      </c>
      <c r="H174" s="74"/>
      <c r="I174" s="74"/>
      <c r="J174" s="74"/>
      <c r="K174" s="74"/>
      <c r="L174" s="74"/>
      <c r="M174" s="73">
        <v>15000.0</v>
      </c>
      <c r="O174" s="73">
        <v>10000.0</v>
      </c>
      <c r="P174" s="74"/>
      <c r="V174" s="73"/>
      <c r="W174" s="73">
        <v>30000.0</v>
      </c>
    </row>
    <row r="175">
      <c r="A175" s="5" t="s">
        <v>95</v>
      </c>
      <c r="B175" s="7" t="s">
        <v>96</v>
      </c>
      <c r="C175" s="76" t="s">
        <v>238</v>
      </c>
      <c r="D175" s="29">
        <v>4.0</v>
      </c>
      <c r="E175" s="73">
        <v>10000.0</v>
      </c>
      <c r="F175" s="74"/>
      <c r="G175" s="73">
        <v>52000.0</v>
      </c>
      <c r="H175" s="74"/>
      <c r="I175" s="74"/>
      <c r="J175" s="74"/>
      <c r="K175" s="74"/>
      <c r="L175" s="74"/>
      <c r="M175" s="73">
        <v>15000.0</v>
      </c>
      <c r="O175" s="73">
        <v>10000.0</v>
      </c>
      <c r="P175" s="74"/>
      <c r="V175" s="73"/>
      <c r="W175" s="73">
        <v>30000.0</v>
      </c>
    </row>
    <row r="176">
      <c r="A176" s="5" t="s">
        <v>95</v>
      </c>
      <c r="B176" s="7" t="s">
        <v>96</v>
      </c>
      <c r="C176" s="76" t="s">
        <v>239</v>
      </c>
      <c r="D176" s="29">
        <v>5.0</v>
      </c>
      <c r="E176" s="73">
        <v>10000.0</v>
      </c>
      <c r="F176" s="74"/>
      <c r="G176" s="73">
        <v>52000.0</v>
      </c>
      <c r="H176" s="74"/>
      <c r="I176" s="74"/>
      <c r="J176" s="74"/>
      <c r="K176" s="74"/>
      <c r="L176" s="74"/>
      <c r="M176" s="73">
        <v>15000.0</v>
      </c>
      <c r="O176" s="73">
        <v>10000.0</v>
      </c>
      <c r="P176" s="74"/>
      <c r="V176" s="73"/>
      <c r="W176" s="73">
        <v>30000.0</v>
      </c>
    </row>
    <row r="177">
      <c r="A177" s="5" t="s">
        <v>95</v>
      </c>
      <c r="B177" s="7" t="s">
        <v>96</v>
      </c>
      <c r="C177" s="76" t="s">
        <v>240</v>
      </c>
      <c r="D177" s="29">
        <v>6.0</v>
      </c>
      <c r="E177" s="73">
        <v>10000.0</v>
      </c>
      <c r="F177" s="74"/>
      <c r="G177" s="73">
        <v>52000.0</v>
      </c>
      <c r="H177" s="74"/>
      <c r="I177" s="74"/>
      <c r="J177" s="74"/>
      <c r="K177" s="74"/>
      <c r="L177" s="74"/>
      <c r="M177" s="73">
        <v>15000.0</v>
      </c>
      <c r="O177" s="73">
        <v>10000.0</v>
      </c>
      <c r="P177" s="74"/>
      <c r="V177" s="73"/>
      <c r="W177" s="73">
        <v>30000.0</v>
      </c>
    </row>
    <row r="178">
      <c r="A178" s="5" t="s">
        <v>95</v>
      </c>
      <c r="B178" s="7" t="s">
        <v>96</v>
      </c>
      <c r="C178" s="76" t="s">
        <v>241</v>
      </c>
      <c r="D178" s="29">
        <v>7.0</v>
      </c>
      <c r="E178" s="73">
        <v>10000.0</v>
      </c>
      <c r="F178" s="74"/>
      <c r="G178" s="73">
        <v>52000.0</v>
      </c>
      <c r="H178" s="74"/>
      <c r="I178" s="74"/>
      <c r="J178" s="74"/>
      <c r="K178" s="74"/>
      <c r="L178" s="74"/>
      <c r="M178" s="73">
        <v>15000.0</v>
      </c>
      <c r="O178" s="73">
        <v>10000.0</v>
      </c>
      <c r="P178" s="74"/>
      <c r="V178" s="73"/>
      <c r="W178" s="73">
        <v>30000.0</v>
      </c>
    </row>
    <row r="179">
      <c r="A179" s="5" t="s">
        <v>95</v>
      </c>
      <c r="B179" s="7" t="s">
        <v>96</v>
      </c>
      <c r="C179" s="76" t="s">
        <v>242</v>
      </c>
      <c r="D179" s="29">
        <v>8.0</v>
      </c>
      <c r="E179" s="73">
        <v>10000.0</v>
      </c>
      <c r="F179" s="74"/>
      <c r="G179" s="73">
        <v>52000.0</v>
      </c>
      <c r="H179" s="74"/>
      <c r="I179" s="74"/>
      <c r="J179" s="74"/>
      <c r="K179" s="74"/>
      <c r="L179" s="74"/>
      <c r="M179" s="73">
        <v>15000.0</v>
      </c>
      <c r="O179" s="73">
        <v>10000.0</v>
      </c>
      <c r="P179" s="74"/>
      <c r="V179" s="73"/>
      <c r="W179" s="73">
        <v>30000.0</v>
      </c>
    </row>
    <row r="180">
      <c r="A180" s="5" t="s">
        <v>95</v>
      </c>
      <c r="B180" s="7" t="s">
        <v>96</v>
      </c>
      <c r="C180" s="76" t="s">
        <v>243</v>
      </c>
      <c r="D180" s="29">
        <v>9.0</v>
      </c>
      <c r="E180" s="73">
        <v>10000.0</v>
      </c>
      <c r="F180" s="74"/>
      <c r="G180" s="73">
        <v>52000.0</v>
      </c>
      <c r="H180" s="74"/>
      <c r="I180" s="74"/>
      <c r="J180" s="74"/>
      <c r="K180" s="74"/>
      <c r="L180" s="74"/>
      <c r="M180" s="73">
        <v>15000.0</v>
      </c>
      <c r="O180" s="73">
        <v>10000.0</v>
      </c>
      <c r="P180" s="74"/>
      <c r="V180" s="73"/>
      <c r="W180" s="73">
        <v>30000.0</v>
      </c>
    </row>
    <row r="181">
      <c r="A181" s="5" t="s">
        <v>95</v>
      </c>
      <c r="B181" s="7" t="s">
        <v>96</v>
      </c>
      <c r="C181" s="76" t="s">
        <v>244</v>
      </c>
      <c r="D181" s="29">
        <v>10.0</v>
      </c>
      <c r="E181" s="73">
        <v>10000.0</v>
      </c>
      <c r="F181" s="74"/>
      <c r="G181" s="73">
        <v>52000.0</v>
      </c>
      <c r="H181" s="74"/>
      <c r="I181" s="74"/>
      <c r="J181" s="74"/>
      <c r="K181" s="74"/>
      <c r="L181" s="74"/>
      <c r="M181" s="73">
        <v>15000.0</v>
      </c>
      <c r="O181" s="73">
        <v>10000.0</v>
      </c>
      <c r="P181" s="74"/>
      <c r="V181" s="73"/>
      <c r="W181" s="73">
        <v>30000.0</v>
      </c>
    </row>
    <row r="182">
      <c r="A182" s="44"/>
      <c r="B182" s="46"/>
      <c r="C182" s="77"/>
      <c r="D182" s="92"/>
      <c r="E182" s="91"/>
      <c r="F182" s="91"/>
      <c r="G182" s="91"/>
      <c r="H182" s="91"/>
      <c r="I182" s="91"/>
      <c r="J182" s="91"/>
      <c r="K182" s="91"/>
      <c r="L182" s="91"/>
      <c r="M182" s="46"/>
      <c r="N182" s="46"/>
      <c r="O182" s="46"/>
      <c r="P182" s="91"/>
      <c r="Q182" s="46"/>
      <c r="R182" s="46"/>
      <c r="S182" s="46"/>
      <c r="T182" s="46"/>
      <c r="U182" s="46"/>
      <c r="V182" s="46"/>
      <c r="W182" s="46"/>
      <c r="X182" s="46"/>
      <c r="Y182" s="46"/>
      <c r="Z182" s="46"/>
      <c r="AA182" s="46"/>
      <c r="AB182" s="46"/>
      <c r="AC182" s="46"/>
      <c r="AD182" s="46"/>
      <c r="AE182" s="46"/>
      <c r="AF182" s="46"/>
      <c r="AG182" s="46"/>
      <c r="AH182" s="46"/>
      <c r="AI182" s="46"/>
      <c r="AJ182" s="46"/>
      <c r="AK182" s="46"/>
    </row>
    <row r="183">
      <c r="A183" s="40" t="s">
        <v>108</v>
      </c>
      <c r="B183" s="29" t="s">
        <v>109</v>
      </c>
      <c r="C183" s="86">
        <v>40483.0</v>
      </c>
      <c r="D183" s="29">
        <v>1.0</v>
      </c>
      <c r="E183" s="73">
        <v>10000.0</v>
      </c>
      <c r="F183" s="74"/>
      <c r="G183" s="74"/>
      <c r="H183" s="73"/>
      <c r="I183" s="73"/>
      <c r="J183" s="74"/>
      <c r="K183" s="74"/>
      <c r="L183" s="74"/>
      <c r="P183" s="74"/>
    </row>
    <row r="184">
      <c r="A184" s="40" t="s">
        <v>108</v>
      </c>
      <c r="B184" s="29" t="s">
        <v>109</v>
      </c>
      <c r="C184" s="86">
        <v>40878.0</v>
      </c>
      <c r="D184" s="29">
        <v>2.0</v>
      </c>
      <c r="E184" s="73">
        <v>10000.0</v>
      </c>
      <c r="F184" s="74"/>
      <c r="G184" s="74"/>
      <c r="H184" s="74"/>
      <c r="I184" s="74"/>
      <c r="J184" s="74"/>
      <c r="K184" s="74"/>
      <c r="L184" s="74"/>
      <c r="P184" s="74"/>
    </row>
    <row r="185">
      <c r="A185" s="40" t="s">
        <v>108</v>
      </c>
      <c r="B185" s="29" t="s">
        <v>109</v>
      </c>
      <c r="C185" s="76" t="s">
        <v>236</v>
      </c>
      <c r="D185" s="29">
        <v>3.0</v>
      </c>
      <c r="E185" s="73">
        <v>10000.0</v>
      </c>
      <c r="F185" s="74"/>
      <c r="G185" s="74"/>
      <c r="H185" s="74"/>
      <c r="I185" s="74"/>
      <c r="J185" s="74"/>
      <c r="K185" s="74"/>
      <c r="L185" s="74"/>
      <c r="P185" s="74"/>
    </row>
    <row r="186">
      <c r="A186" s="40" t="s">
        <v>108</v>
      </c>
      <c r="B186" s="29" t="s">
        <v>109</v>
      </c>
      <c r="C186" s="76" t="s">
        <v>237</v>
      </c>
      <c r="D186" s="29">
        <v>4.0</v>
      </c>
      <c r="E186" s="73">
        <v>10000.0</v>
      </c>
      <c r="F186" s="74"/>
      <c r="G186" s="74"/>
      <c r="H186" s="74"/>
      <c r="I186" s="74"/>
      <c r="J186" s="74"/>
      <c r="K186" s="74"/>
      <c r="L186" s="74"/>
      <c r="P186" s="74"/>
    </row>
    <row r="187">
      <c r="A187" s="40" t="s">
        <v>108</v>
      </c>
      <c r="B187" s="29" t="s">
        <v>109</v>
      </c>
      <c r="C187" s="76" t="s">
        <v>238</v>
      </c>
      <c r="D187" s="29">
        <v>5.0</v>
      </c>
      <c r="E187" s="73">
        <v>10000.0</v>
      </c>
      <c r="F187" s="74"/>
      <c r="G187" s="74"/>
      <c r="H187" s="74"/>
      <c r="I187" s="74"/>
      <c r="J187" s="74"/>
      <c r="K187" s="74"/>
      <c r="L187" s="74"/>
      <c r="P187" s="74"/>
    </row>
    <row r="188">
      <c r="A188" s="40" t="s">
        <v>108</v>
      </c>
      <c r="B188" s="29" t="s">
        <v>109</v>
      </c>
      <c r="C188" s="76" t="s">
        <v>239</v>
      </c>
      <c r="D188" s="29">
        <v>6.0</v>
      </c>
      <c r="E188" s="73">
        <v>10000.0</v>
      </c>
      <c r="F188" s="74"/>
      <c r="G188" s="74"/>
      <c r="H188" s="74"/>
      <c r="I188" s="74"/>
      <c r="J188" s="74"/>
      <c r="K188" s="74"/>
      <c r="L188" s="74"/>
      <c r="P188" s="74"/>
    </row>
    <row r="189">
      <c r="A189" s="40" t="s">
        <v>108</v>
      </c>
      <c r="B189" s="29" t="s">
        <v>109</v>
      </c>
      <c r="C189" s="76" t="s">
        <v>240</v>
      </c>
      <c r="D189" s="29">
        <v>7.0</v>
      </c>
      <c r="E189" s="73">
        <v>10000.0</v>
      </c>
      <c r="F189" s="74"/>
      <c r="G189" s="74"/>
      <c r="H189" s="74"/>
      <c r="I189" s="74"/>
      <c r="J189" s="74"/>
      <c r="K189" s="74"/>
      <c r="L189" s="74"/>
      <c r="P189" s="74"/>
    </row>
    <row r="190">
      <c r="A190" s="44"/>
      <c r="B190" s="46"/>
      <c r="C190" s="77"/>
      <c r="D190" s="92"/>
      <c r="E190" s="91"/>
      <c r="F190" s="91"/>
      <c r="G190" s="91"/>
      <c r="H190" s="91"/>
      <c r="I190" s="91"/>
      <c r="J190" s="91"/>
      <c r="K190" s="91"/>
      <c r="L190" s="91"/>
      <c r="M190" s="46"/>
      <c r="N190" s="46"/>
      <c r="O190" s="46"/>
      <c r="P190" s="91"/>
      <c r="Q190" s="46"/>
      <c r="R190" s="46"/>
      <c r="S190" s="46"/>
      <c r="T190" s="46"/>
      <c r="U190" s="46"/>
      <c r="V190" s="46"/>
      <c r="W190" s="46"/>
      <c r="X190" s="46"/>
      <c r="Y190" s="46"/>
      <c r="Z190" s="46"/>
      <c r="AA190" s="46"/>
      <c r="AB190" s="46"/>
      <c r="AC190" s="46"/>
      <c r="AD190" s="46"/>
      <c r="AE190" s="46"/>
      <c r="AF190" s="46"/>
      <c r="AG190" s="46"/>
      <c r="AH190" s="46"/>
      <c r="AI190" s="46"/>
      <c r="AJ190" s="46"/>
      <c r="AK190" s="46"/>
    </row>
    <row r="191">
      <c r="A191" s="40" t="s">
        <v>111</v>
      </c>
      <c r="B191" s="29" t="s">
        <v>112</v>
      </c>
      <c r="C191" s="76" t="s">
        <v>239</v>
      </c>
      <c r="D191" s="29">
        <v>1.0</v>
      </c>
      <c r="E191" s="74"/>
      <c r="G191" s="74"/>
      <c r="H191" s="73">
        <v>1000000.0</v>
      </c>
      <c r="I191" s="74"/>
      <c r="J191" s="74"/>
      <c r="K191" s="74"/>
      <c r="L191" s="74"/>
      <c r="O191" s="64">
        <v>100000.0</v>
      </c>
      <c r="P191" s="74"/>
      <c r="X191" s="29"/>
      <c r="Y191" s="29" t="s">
        <v>246</v>
      </c>
    </row>
    <row r="192">
      <c r="A192" s="40" t="s">
        <v>111</v>
      </c>
      <c r="B192" s="29" t="s">
        <v>112</v>
      </c>
      <c r="C192" s="76" t="s">
        <v>240</v>
      </c>
      <c r="D192" s="29">
        <v>2.0</v>
      </c>
      <c r="E192" s="74"/>
      <c r="G192" s="74"/>
      <c r="H192" s="73">
        <v>1000000.0</v>
      </c>
      <c r="I192" s="74"/>
      <c r="J192" s="74"/>
      <c r="K192" s="74"/>
      <c r="L192" s="74"/>
      <c r="O192" s="64">
        <v>100000.0</v>
      </c>
      <c r="P192" s="74"/>
      <c r="X192" s="29"/>
      <c r="Y192" s="29" t="s">
        <v>246</v>
      </c>
    </row>
    <row r="193">
      <c r="A193" s="40" t="s">
        <v>111</v>
      </c>
      <c r="B193" s="29" t="s">
        <v>112</v>
      </c>
      <c r="C193" s="76" t="s">
        <v>241</v>
      </c>
      <c r="D193" s="29">
        <v>3.0</v>
      </c>
      <c r="E193" s="74"/>
      <c r="G193" s="74"/>
      <c r="H193" s="73">
        <v>1000000.0</v>
      </c>
      <c r="I193" s="74"/>
      <c r="J193" s="74"/>
      <c r="K193" s="74"/>
      <c r="L193" s="74"/>
      <c r="O193" s="64">
        <v>100000.0</v>
      </c>
      <c r="P193" s="74"/>
      <c r="X193" s="29"/>
      <c r="Y193" s="29" t="s">
        <v>246</v>
      </c>
    </row>
    <row r="194">
      <c r="A194" s="40" t="s">
        <v>111</v>
      </c>
      <c r="B194" s="29" t="s">
        <v>112</v>
      </c>
      <c r="C194" s="76" t="s">
        <v>242</v>
      </c>
      <c r="D194" s="29">
        <v>4.0</v>
      </c>
      <c r="E194" s="74"/>
      <c r="G194" s="74"/>
      <c r="H194" s="73">
        <v>1000000.0</v>
      </c>
      <c r="I194" s="74"/>
      <c r="J194" s="74"/>
      <c r="K194" s="74"/>
      <c r="L194" s="74"/>
      <c r="O194" s="64">
        <v>100000.0</v>
      </c>
      <c r="P194" s="74"/>
      <c r="X194" s="29"/>
      <c r="Y194" s="29" t="s">
        <v>246</v>
      </c>
    </row>
    <row r="195">
      <c r="A195" s="40" t="s">
        <v>111</v>
      </c>
      <c r="B195" s="29" t="s">
        <v>112</v>
      </c>
      <c r="C195" s="76" t="s">
        <v>243</v>
      </c>
      <c r="D195" s="29">
        <v>5.0</v>
      </c>
      <c r="E195" s="74"/>
      <c r="G195" s="74"/>
      <c r="H195" s="73">
        <v>1000000.0</v>
      </c>
      <c r="I195" s="74"/>
      <c r="J195" s="74"/>
      <c r="K195" s="74"/>
      <c r="L195" s="74"/>
      <c r="O195" s="64">
        <v>100000.0</v>
      </c>
      <c r="P195" s="74"/>
      <c r="X195" s="29"/>
      <c r="Y195" s="29" t="s">
        <v>246</v>
      </c>
    </row>
    <row r="196">
      <c r="A196" s="40" t="s">
        <v>111</v>
      </c>
      <c r="B196" s="29" t="s">
        <v>112</v>
      </c>
      <c r="C196" s="76" t="s">
        <v>244</v>
      </c>
      <c r="D196" s="29">
        <v>6.0</v>
      </c>
      <c r="E196" s="74"/>
      <c r="G196" s="74"/>
      <c r="H196" s="73">
        <v>1000000.0</v>
      </c>
      <c r="I196" s="74"/>
      <c r="J196" s="74"/>
      <c r="K196" s="74"/>
      <c r="L196" s="74"/>
      <c r="O196" s="64">
        <v>100000.0</v>
      </c>
      <c r="P196" s="74"/>
      <c r="X196" s="29"/>
      <c r="Y196" s="29" t="s">
        <v>246</v>
      </c>
    </row>
    <row r="197">
      <c r="A197" s="40" t="s">
        <v>111</v>
      </c>
      <c r="B197" s="29" t="s">
        <v>112</v>
      </c>
      <c r="C197" s="76" t="s">
        <v>247</v>
      </c>
      <c r="D197" s="29">
        <v>7.0</v>
      </c>
      <c r="E197" s="74"/>
      <c r="G197" s="74"/>
      <c r="H197" s="73">
        <v>1000000.0</v>
      </c>
      <c r="I197" s="74"/>
      <c r="J197" s="74"/>
      <c r="K197" s="74"/>
      <c r="L197" s="74"/>
      <c r="O197" s="64">
        <v>100000.0</v>
      </c>
      <c r="P197" s="74"/>
      <c r="X197" s="29"/>
      <c r="Y197" s="29" t="s">
        <v>246</v>
      </c>
    </row>
    <row r="198">
      <c r="A198" s="40" t="s">
        <v>111</v>
      </c>
      <c r="B198" s="29" t="s">
        <v>112</v>
      </c>
      <c r="C198" s="76" t="s">
        <v>248</v>
      </c>
      <c r="D198" s="29">
        <v>8.0</v>
      </c>
      <c r="E198" s="74"/>
      <c r="G198" s="74"/>
      <c r="H198" s="73">
        <v>1000000.0</v>
      </c>
      <c r="I198" s="74"/>
      <c r="J198" s="74"/>
      <c r="K198" s="74"/>
      <c r="L198" s="74"/>
      <c r="O198" s="64">
        <v>100000.0</v>
      </c>
      <c r="P198" s="74"/>
      <c r="X198" s="29"/>
      <c r="Y198" s="29" t="s">
        <v>246</v>
      </c>
    </row>
    <row r="199">
      <c r="A199" s="40" t="s">
        <v>111</v>
      </c>
      <c r="B199" s="29" t="s">
        <v>112</v>
      </c>
      <c r="C199" s="76" t="s">
        <v>249</v>
      </c>
      <c r="D199" s="29">
        <v>9.0</v>
      </c>
      <c r="E199" s="74"/>
      <c r="G199" s="74"/>
      <c r="H199" s="73">
        <v>1000000.0</v>
      </c>
      <c r="I199" s="74"/>
      <c r="J199" s="74"/>
      <c r="K199" s="74"/>
      <c r="L199" s="74"/>
      <c r="O199" s="64">
        <v>100000.0</v>
      </c>
      <c r="P199" s="74"/>
      <c r="X199" s="29"/>
      <c r="Y199" s="29" t="s">
        <v>246</v>
      </c>
    </row>
    <row r="200">
      <c r="A200" s="40" t="s">
        <v>111</v>
      </c>
      <c r="B200" s="29" t="s">
        <v>112</v>
      </c>
      <c r="C200" s="76" t="s">
        <v>250</v>
      </c>
      <c r="D200" s="29">
        <v>10.0</v>
      </c>
      <c r="E200" s="74"/>
      <c r="G200" s="74"/>
      <c r="H200" s="73">
        <v>1000000.0</v>
      </c>
      <c r="I200" s="74"/>
      <c r="J200" s="74"/>
      <c r="K200" s="74"/>
      <c r="L200" s="74"/>
      <c r="O200" s="64">
        <v>100000.0</v>
      </c>
      <c r="P200" s="74"/>
      <c r="X200" s="29"/>
      <c r="Y200" s="29" t="s">
        <v>246</v>
      </c>
    </row>
    <row r="201">
      <c r="A201" s="44"/>
      <c r="B201" s="46"/>
      <c r="C201" s="77"/>
      <c r="D201" s="92"/>
      <c r="E201" s="91"/>
      <c r="F201" s="91"/>
      <c r="G201" s="91"/>
      <c r="H201" s="91"/>
      <c r="I201" s="91"/>
      <c r="J201" s="91"/>
      <c r="K201" s="91"/>
      <c r="L201" s="91"/>
      <c r="M201" s="46"/>
      <c r="N201" s="46"/>
      <c r="O201" s="46"/>
      <c r="P201" s="91"/>
      <c r="Q201" s="46"/>
      <c r="R201" s="46"/>
      <c r="S201" s="46"/>
      <c r="T201" s="46"/>
      <c r="U201" s="46"/>
      <c r="V201" s="46"/>
      <c r="W201" s="46"/>
      <c r="X201" s="46"/>
      <c r="Y201" s="46"/>
      <c r="Z201" s="46"/>
      <c r="AA201" s="46"/>
      <c r="AB201" s="46"/>
      <c r="AC201" s="46"/>
      <c r="AD201" s="46"/>
      <c r="AE201" s="46"/>
      <c r="AF201" s="46"/>
      <c r="AG201" s="46"/>
      <c r="AH201" s="46"/>
      <c r="AI201" s="46"/>
      <c r="AJ201" s="46"/>
      <c r="AK201" s="46"/>
    </row>
    <row r="202">
      <c r="A202" s="40" t="s">
        <v>104</v>
      </c>
      <c r="B202" s="29" t="s">
        <v>105</v>
      </c>
      <c r="C202" s="86">
        <v>40878.0</v>
      </c>
      <c r="D202" s="29">
        <v>1.0</v>
      </c>
      <c r="E202" s="74"/>
      <c r="F202" s="74"/>
      <c r="G202" s="74"/>
      <c r="H202" s="74"/>
      <c r="I202" s="74"/>
      <c r="J202" s="74"/>
      <c r="K202" s="74"/>
      <c r="L202" s="74"/>
      <c r="O202" s="73">
        <v>10000.0</v>
      </c>
      <c r="P202" s="74"/>
    </row>
    <row r="203">
      <c r="A203" s="40" t="s">
        <v>104</v>
      </c>
      <c r="B203" s="29" t="s">
        <v>105</v>
      </c>
      <c r="C203" s="76" t="s">
        <v>236</v>
      </c>
      <c r="D203" s="29">
        <v>2.0</v>
      </c>
      <c r="E203" s="74"/>
      <c r="F203" s="74"/>
      <c r="G203" s="74"/>
      <c r="H203" s="74"/>
      <c r="I203" s="74"/>
      <c r="J203" s="74"/>
      <c r="K203" s="74"/>
      <c r="L203" s="74"/>
      <c r="P203" s="74"/>
    </row>
    <row r="204">
      <c r="A204" s="40" t="s">
        <v>104</v>
      </c>
      <c r="B204" s="29" t="s">
        <v>105</v>
      </c>
      <c r="C204" s="76" t="s">
        <v>237</v>
      </c>
      <c r="D204" s="29">
        <v>3.0</v>
      </c>
      <c r="E204" s="74"/>
      <c r="F204" s="74"/>
      <c r="G204" s="74"/>
      <c r="H204" s="74"/>
      <c r="I204" s="74"/>
      <c r="J204" s="74"/>
      <c r="K204" s="74"/>
      <c r="L204" s="74"/>
      <c r="P204" s="74"/>
    </row>
    <row r="205">
      <c r="A205" s="40" t="s">
        <v>104</v>
      </c>
      <c r="B205" s="29" t="s">
        <v>105</v>
      </c>
      <c r="C205" s="76" t="s">
        <v>238</v>
      </c>
      <c r="D205" s="29">
        <v>4.0</v>
      </c>
      <c r="E205" s="74"/>
      <c r="F205" s="74"/>
      <c r="G205" s="74"/>
      <c r="H205" s="74"/>
      <c r="I205" s="74"/>
      <c r="J205" s="74"/>
      <c r="K205" s="74"/>
      <c r="L205" s="74"/>
      <c r="P205" s="74"/>
    </row>
    <row r="206">
      <c r="A206" s="40" t="s">
        <v>104</v>
      </c>
      <c r="B206" s="29" t="s">
        <v>105</v>
      </c>
      <c r="C206" s="76" t="s">
        <v>239</v>
      </c>
      <c r="D206" s="29">
        <v>5.0</v>
      </c>
      <c r="E206" s="74"/>
      <c r="F206" s="74"/>
      <c r="G206" s="74"/>
      <c r="H206" s="74"/>
      <c r="I206" s="74"/>
      <c r="J206" s="74"/>
      <c r="K206" s="74"/>
      <c r="L206" s="74"/>
      <c r="P206" s="74"/>
    </row>
    <row r="207">
      <c r="A207" s="40" t="s">
        <v>104</v>
      </c>
      <c r="B207" s="29" t="s">
        <v>105</v>
      </c>
      <c r="C207" s="76" t="s">
        <v>240</v>
      </c>
      <c r="D207" s="29">
        <v>6.0</v>
      </c>
      <c r="E207" s="74"/>
      <c r="F207" s="74"/>
      <c r="G207" s="74"/>
      <c r="H207" s="74"/>
      <c r="I207" s="74"/>
      <c r="J207" s="74"/>
      <c r="K207" s="74"/>
      <c r="L207" s="74"/>
      <c r="P207" s="74"/>
    </row>
    <row r="208">
      <c r="A208" s="44"/>
      <c r="B208" s="46"/>
      <c r="C208" s="77"/>
      <c r="D208" s="92"/>
      <c r="E208" s="91"/>
      <c r="F208" s="91"/>
      <c r="G208" s="91"/>
      <c r="H208" s="91"/>
      <c r="I208" s="91"/>
      <c r="J208" s="91"/>
      <c r="K208" s="91"/>
      <c r="L208" s="91"/>
      <c r="M208" s="46"/>
      <c r="N208" s="46"/>
      <c r="O208" s="46"/>
      <c r="P208" s="91"/>
      <c r="Q208" s="46"/>
      <c r="R208" s="46"/>
      <c r="S208" s="46"/>
      <c r="T208" s="46"/>
      <c r="U208" s="46"/>
      <c r="V208" s="46"/>
      <c r="W208" s="46"/>
      <c r="X208" s="46"/>
      <c r="Y208" s="46"/>
      <c r="Z208" s="46"/>
      <c r="AA208" s="46"/>
      <c r="AB208" s="46"/>
      <c r="AC208" s="46"/>
      <c r="AD208" s="46"/>
      <c r="AE208" s="46"/>
      <c r="AF208" s="46"/>
      <c r="AG208" s="46"/>
      <c r="AH208" s="46"/>
      <c r="AI208" s="46"/>
      <c r="AJ208" s="46"/>
      <c r="AK208" s="46"/>
    </row>
    <row r="209">
      <c r="A209" s="98" t="s">
        <v>121</v>
      </c>
      <c r="B209" s="11" t="s">
        <v>122</v>
      </c>
      <c r="C209" s="99">
        <v>40483.0</v>
      </c>
      <c r="D209" s="29">
        <v>1.0</v>
      </c>
      <c r="E209" s="74"/>
      <c r="F209" s="74"/>
      <c r="G209" s="74"/>
      <c r="H209" s="74"/>
      <c r="I209" s="74"/>
      <c r="J209" s="74"/>
      <c r="K209" s="74"/>
      <c r="L209" s="74"/>
      <c r="O209" s="73">
        <v>30000.0</v>
      </c>
      <c r="P209" s="74"/>
    </row>
    <row r="210">
      <c r="A210" s="98" t="s">
        <v>121</v>
      </c>
      <c r="B210" s="11" t="s">
        <v>122</v>
      </c>
      <c r="C210" s="99">
        <v>40878.0</v>
      </c>
      <c r="D210" s="29">
        <v>2.0</v>
      </c>
      <c r="E210" s="74"/>
      <c r="F210" s="74"/>
      <c r="G210" s="74"/>
      <c r="H210" s="74"/>
      <c r="I210" s="74"/>
      <c r="J210" s="74"/>
      <c r="K210" s="74"/>
      <c r="L210" s="74"/>
      <c r="P210" s="74"/>
    </row>
    <row r="211">
      <c r="A211" s="98" t="s">
        <v>121</v>
      </c>
      <c r="B211" s="11" t="s">
        <v>122</v>
      </c>
      <c r="C211" s="100" t="s">
        <v>236</v>
      </c>
      <c r="D211" s="29">
        <v>3.0</v>
      </c>
      <c r="E211" s="74"/>
      <c r="F211" s="74"/>
      <c r="G211" s="74"/>
      <c r="H211" s="74"/>
      <c r="I211" s="74"/>
      <c r="J211" s="74"/>
      <c r="K211" s="74"/>
      <c r="L211" s="74"/>
      <c r="P211" s="74"/>
    </row>
    <row r="212">
      <c r="A212" s="98" t="s">
        <v>121</v>
      </c>
      <c r="B212" s="11" t="s">
        <v>122</v>
      </c>
      <c r="C212" s="100" t="s">
        <v>237</v>
      </c>
      <c r="D212" s="29">
        <v>4.0</v>
      </c>
      <c r="E212" s="74"/>
      <c r="F212" s="74"/>
      <c r="G212" s="74"/>
      <c r="H212" s="74"/>
      <c r="I212" s="74"/>
      <c r="J212" s="74"/>
      <c r="K212" s="74"/>
      <c r="L212" s="74"/>
      <c r="P212" s="74"/>
    </row>
    <row r="213">
      <c r="A213" s="98" t="s">
        <v>121</v>
      </c>
      <c r="B213" s="11" t="s">
        <v>122</v>
      </c>
      <c r="C213" s="100" t="s">
        <v>238</v>
      </c>
      <c r="D213" s="29">
        <v>5.0</v>
      </c>
      <c r="E213" s="74"/>
      <c r="F213" s="74"/>
      <c r="G213" s="74"/>
      <c r="H213" s="74"/>
      <c r="I213" s="74"/>
      <c r="J213" s="74"/>
      <c r="K213" s="74"/>
      <c r="L213" s="74"/>
      <c r="P213" s="74"/>
    </row>
    <row r="214">
      <c r="A214" s="98" t="s">
        <v>121</v>
      </c>
      <c r="B214" s="11" t="s">
        <v>122</v>
      </c>
      <c r="C214" s="100" t="s">
        <v>239</v>
      </c>
      <c r="D214" s="29">
        <v>6.0</v>
      </c>
      <c r="E214" s="74"/>
      <c r="F214" s="74"/>
      <c r="G214" s="74"/>
      <c r="H214" s="74"/>
      <c r="I214" s="74"/>
      <c r="J214" s="74"/>
      <c r="K214" s="74"/>
      <c r="L214" s="74"/>
      <c r="P214" s="74"/>
    </row>
    <row r="215">
      <c r="A215" s="98" t="s">
        <v>121</v>
      </c>
      <c r="B215" s="11" t="s">
        <v>122</v>
      </c>
      <c r="C215" s="100" t="s">
        <v>240</v>
      </c>
      <c r="D215" s="29">
        <v>7.0</v>
      </c>
      <c r="E215" s="74"/>
      <c r="F215" s="74"/>
      <c r="G215" s="74"/>
      <c r="H215" s="74"/>
      <c r="I215" s="74"/>
      <c r="J215" s="74"/>
      <c r="K215" s="74"/>
      <c r="L215" s="74"/>
      <c r="P215" s="74"/>
    </row>
    <row r="216">
      <c r="A216" s="98" t="s">
        <v>121</v>
      </c>
      <c r="B216" s="11" t="s">
        <v>122</v>
      </c>
      <c r="C216" s="100" t="s">
        <v>241</v>
      </c>
      <c r="D216" s="29">
        <v>8.0</v>
      </c>
      <c r="E216" s="74"/>
      <c r="F216" s="74"/>
      <c r="G216" s="74"/>
      <c r="H216" s="74"/>
      <c r="I216" s="74"/>
      <c r="J216" s="74"/>
      <c r="K216" s="74"/>
      <c r="L216" s="74"/>
      <c r="P216" s="74"/>
    </row>
    <row r="217">
      <c r="A217" s="98" t="s">
        <v>121</v>
      </c>
      <c r="B217" s="11" t="s">
        <v>122</v>
      </c>
      <c r="C217" s="100" t="s">
        <v>242</v>
      </c>
      <c r="D217" s="29">
        <v>9.0</v>
      </c>
      <c r="E217" s="74"/>
      <c r="F217" s="74"/>
      <c r="G217" s="74"/>
      <c r="H217" s="74"/>
      <c r="I217" s="74"/>
      <c r="J217" s="74"/>
      <c r="K217" s="74"/>
      <c r="L217" s="74"/>
      <c r="P217" s="74"/>
    </row>
    <row r="218">
      <c r="A218" s="98" t="s">
        <v>121</v>
      </c>
      <c r="B218" s="11" t="s">
        <v>122</v>
      </c>
      <c r="C218" s="100" t="s">
        <v>243</v>
      </c>
      <c r="D218" s="29">
        <v>10.0</v>
      </c>
      <c r="E218" s="74"/>
      <c r="F218" s="74"/>
      <c r="G218" s="74"/>
      <c r="H218" s="74"/>
      <c r="I218" s="74"/>
      <c r="J218" s="74"/>
      <c r="K218" s="74"/>
      <c r="L218" s="74"/>
      <c r="P218" s="74"/>
    </row>
    <row r="219">
      <c r="A219" s="98" t="s">
        <v>121</v>
      </c>
      <c r="B219" s="11" t="s">
        <v>122</v>
      </c>
      <c r="C219" s="100" t="s">
        <v>244</v>
      </c>
      <c r="D219" s="29">
        <v>11.0</v>
      </c>
      <c r="E219" s="74"/>
      <c r="F219" s="74"/>
      <c r="G219" s="74"/>
      <c r="H219" s="74"/>
      <c r="I219" s="74"/>
      <c r="J219" s="74"/>
      <c r="K219" s="74"/>
      <c r="L219" s="74"/>
      <c r="P219" s="74"/>
    </row>
    <row r="220">
      <c r="A220" s="98" t="s">
        <v>121</v>
      </c>
      <c r="B220" s="11" t="s">
        <v>122</v>
      </c>
      <c r="C220" s="100" t="s">
        <v>247</v>
      </c>
      <c r="D220" s="29">
        <v>12.0</v>
      </c>
      <c r="E220" s="74"/>
      <c r="F220" s="74"/>
      <c r="G220" s="74"/>
      <c r="H220" s="74"/>
      <c r="I220" s="74"/>
      <c r="J220" s="74"/>
      <c r="K220" s="74"/>
      <c r="L220" s="74"/>
      <c r="P220" s="74"/>
    </row>
    <row r="221">
      <c r="A221" s="98" t="s">
        <v>121</v>
      </c>
      <c r="B221" s="11" t="s">
        <v>122</v>
      </c>
      <c r="C221" s="100" t="s">
        <v>248</v>
      </c>
      <c r="D221" s="29">
        <v>13.0</v>
      </c>
      <c r="E221" s="74"/>
      <c r="F221" s="74"/>
      <c r="G221" s="74"/>
      <c r="H221" s="74"/>
      <c r="I221" s="74"/>
      <c r="J221" s="74"/>
      <c r="K221" s="74"/>
      <c r="L221" s="74"/>
      <c r="P221" s="74"/>
    </row>
    <row r="222">
      <c r="A222" s="44"/>
      <c r="B222" s="46"/>
      <c r="C222" s="77"/>
      <c r="D222" s="92"/>
      <c r="E222" s="91"/>
      <c r="F222" s="91"/>
      <c r="G222" s="91"/>
      <c r="H222" s="91"/>
      <c r="I222" s="91"/>
      <c r="J222" s="91"/>
      <c r="K222" s="91"/>
      <c r="L222" s="91"/>
      <c r="M222" s="46"/>
      <c r="N222" s="46"/>
      <c r="O222" s="46"/>
      <c r="P222" s="91"/>
      <c r="Q222" s="46"/>
      <c r="R222" s="46"/>
      <c r="S222" s="46"/>
      <c r="T222" s="46"/>
      <c r="U222" s="46"/>
      <c r="V222" s="46"/>
      <c r="W222" s="46"/>
      <c r="X222" s="46"/>
      <c r="Y222" s="46"/>
      <c r="Z222" s="46"/>
      <c r="AA222" s="46"/>
      <c r="AB222" s="46"/>
      <c r="AC222" s="46"/>
      <c r="AD222" s="46"/>
      <c r="AE222" s="46"/>
      <c r="AF222" s="46"/>
      <c r="AG222" s="46"/>
      <c r="AH222" s="46"/>
      <c r="AI222" s="46"/>
      <c r="AJ222" s="46"/>
      <c r="AK222" s="46"/>
    </row>
    <row r="223">
      <c r="A223" s="5" t="s">
        <v>125</v>
      </c>
      <c r="B223" s="27" t="s">
        <v>126</v>
      </c>
      <c r="C223" s="29" t="s">
        <v>239</v>
      </c>
      <c r="D223" s="29">
        <v>1.0</v>
      </c>
      <c r="E223" s="74"/>
      <c r="F223" s="74"/>
      <c r="G223" s="74"/>
      <c r="H223" s="74"/>
      <c r="I223" s="74"/>
      <c r="J223" s="74"/>
      <c r="K223" s="74"/>
      <c r="L223" s="74"/>
      <c r="P223" s="74"/>
    </row>
    <row r="224">
      <c r="A224" s="5" t="s">
        <v>125</v>
      </c>
      <c r="B224" s="27" t="s">
        <v>126</v>
      </c>
      <c r="C224" s="100" t="s">
        <v>240</v>
      </c>
      <c r="D224" s="29">
        <v>2.0</v>
      </c>
      <c r="E224" s="74"/>
      <c r="F224" s="74"/>
      <c r="G224" s="74"/>
      <c r="H224" s="74"/>
      <c r="I224" s="74"/>
      <c r="J224" s="74"/>
      <c r="K224" s="74"/>
      <c r="L224" s="74"/>
      <c r="P224" s="74"/>
    </row>
    <row r="225">
      <c r="A225" s="5" t="s">
        <v>125</v>
      </c>
      <c r="B225" s="27" t="s">
        <v>126</v>
      </c>
      <c r="C225" s="100" t="s">
        <v>241</v>
      </c>
      <c r="D225" s="29">
        <v>3.0</v>
      </c>
      <c r="E225" s="74"/>
      <c r="F225" s="74"/>
      <c r="G225" s="74"/>
      <c r="H225" s="74"/>
      <c r="I225" s="74"/>
      <c r="J225" s="74"/>
      <c r="K225" s="74"/>
      <c r="L225" s="74"/>
      <c r="P225" s="74"/>
    </row>
    <row r="226">
      <c r="A226" s="5" t="s">
        <v>125</v>
      </c>
      <c r="B226" s="27" t="s">
        <v>126</v>
      </c>
      <c r="C226" s="100" t="s">
        <v>242</v>
      </c>
      <c r="D226" s="29">
        <v>4.0</v>
      </c>
      <c r="E226" s="74"/>
      <c r="F226" s="74"/>
      <c r="G226" s="74"/>
      <c r="H226" s="74"/>
      <c r="I226" s="74"/>
      <c r="J226" s="74"/>
      <c r="K226" s="74"/>
      <c r="L226" s="74"/>
      <c r="P226" s="74"/>
    </row>
    <row r="227">
      <c r="A227" s="5" t="s">
        <v>125</v>
      </c>
      <c r="B227" s="27" t="s">
        <v>126</v>
      </c>
      <c r="C227" s="100" t="s">
        <v>243</v>
      </c>
      <c r="D227" s="29">
        <v>5.0</v>
      </c>
      <c r="E227" s="74"/>
      <c r="F227" s="74"/>
      <c r="G227" s="74"/>
      <c r="H227" s="74"/>
      <c r="I227" s="74"/>
      <c r="J227" s="74"/>
      <c r="K227" s="74"/>
      <c r="L227" s="74"/>
      <c r="P227" s="74"/>
    </row>
    <row r="228">
      <c r="A228" s="5" t="s">
        <v>125</v>
      </c>
      <c r="B228" s="27" t="s">
        <v>126</v>
      </c>
      <c r="C228" s="100" t="s">
        <v>244</v>
      </c>
      <c r="D228" s="29">
        <v>6.0</v>
      </c>
      <c r="E228" s="74"/>
      <c r="F228" s="74"/>
      <c r="G228" s="74"/>
      <c r="H228" s="74"/>
      <c r="I228" s="74"/>
      <c r="J228" s="74"/>
      <c r="K228" s="74"/>
      <c r="L228" s="74"/>
      <c r="P228" s="74"/>
    </row>
    <row r="229">
      <c r="A229" s="5" t="s">
        <v>125</v>
      </c>
      <c r="B229" s="27" t="s">
        <v>126</v>
      </c>
      <c r="C229" s="100" t="s">
        <v>247</v>
      </c>
      <c r="D229" s="29">
        <v>7.0</v>
      </c>
      <c r="E229" s="74"/>
      <c r="F229" s="74"/>
      <c r="G229" s="74"/>
      <c r="H229" s="74"/>
      <c r="I229" s="74"/>
      <c r="J229" s="74"/>
      <c r="K229" s="74"/>
      <c r="L229" s="74"/>
      <c r="P229" s="74"/>
    </row>
    <row r="230">
      <c r="A230" s="5" t="s">
        <v>125</v>
      </c>
      <c r="B230" s="27" t="s">
        <v>126</v>
      </c>
      <c r="C230" s="100" t="s">
        <v>248</v>
      </c>
      <c r="D230" s="29">
        <v>8.0</v>
      </c>
      <c r="E230" s="74"/>
      <c r="F230" s="74"/>
      <c r="G230" s="74"/>
      <c r="H230" s="74"/>
      <c r="I230" s="74"/>
      <c r="J230" s="74"/>
      <c r="K230" s="74"/>
      <c r="L230" s="74"/>
      <c r="P230" s="74"/>
    </row>
    <row r="231">
      <c r="A231" s="5" t="s">
        <v>125</v>
      </c>
      <c r="B231" s="27" t="s">
        <v>126</v>
      </c>
      <c r="C231" s="76" t="s">
        <v>249</v>
      </c>
      <c r="D231" s="29">
        <v>9.0</v>
      </c>
      <c r="E231" s="74"/>
      <c r="F231" s="74"/>
      <c r="G231" s="74"/>
      <c r="H231" s="74"/>
      <c r="I231" s="74"/>
      <c r="J231" s="74"/>
      <c r="K231" s="74"/>
      <c r="L231" s="74"/>
      <c r="P231" s="74"/>
    </row>
    <row r="232">
      <c r="A232" s="5" t="s">
        <v>125</v>
      </c>
      <c r="B232" s="27" t="s">
        <v>126</v>
      </c>
      <c r="C232" s="76" t="s">
        <v>250</v>
      </c>
      <c r="D232" s="29">
        <v>10.0</v>
      </c>
      <c r="E232" s="74"/>
      <c r="F232" s="74"/>
      <c r="G232" s="74"/>
      <c r="H232" s="74"/>
      <c r="I232" s="74"/>
      <c r="J232" s="74"/>
      <c r="K232" s="74"/>
      <c r="L232" s="74"/>
      <c r="P232" s="74"/>
    </row>
    <row r="233">
      <c r="A233" s="5" t="s">
        <v>125</v>
      </c>
      <c r="B233" s="27" t="s">
        <v>126</v>
      </c>
      <c r="C233" s="76" t="s">
        <v>251</v>
      </c>
      <c r="D233" s="29">
        <v>11.0</v>
      </c>
      <c r="E233" s="74"/>
      <c r="F233" s="74"/>
      <c r="G233" s="74"/>
      <c r="H233" s="74"/>
      <c r="I233" s="74"/>
      <c r="J233" s="74"/>
      <c r="K233" s="74"/>
      <c r="L233" s="74"/>
      <c r="P233" s="74"/>
    </row>
    <row r="234">
      <c r="A234" s="5" t="s">
        <v>125</v>
      </c>
      <c r="B234" s="27" t="s">
        <v>126</v>
      </c>
      <c r="C234" s="76" t="s">
        <v>252</v>
      </c>
      <c r="D234" s="29">
        <v>12.0</v>
      </c>
      <c r="E234" s="74"/>
      <c r="F234" s="74"/>
      <c r="G234" s="74"/>
      <c r="H234" s="74"/>
      <c r="I234" s="74"/>
      <c r="J234" s="74"/>
      <c r="K234" s="74"/>
      <c r="L234" s="74"/>
      <c r="O234" s="73">
        <v>75000.0</v>
      </c>
      <c r="P234" s="74"/>
    </row>
    <row r="235">
      <c r="A235" s="44"/>
      <c r="B235" s="46"/>
      <c r="C235" s="77"/>
      <c r="D235" s="91"/>
      <c r="E235" s="91"/>
      <c r="F235" s="91"/>
      <c r="G235" s="91"/>
      <c r="H235" s="91"/>
      <c r="I235" s="91"/>
      <c r="J235" s="91"/>
      <c r="K235" s="91"/>
      <c r="L235" s="91"/>
      <c r="M235" s="46"/>
      <c r="N235" s="46"/>
      <c r="O235" s="46"/>
      <c r="P235" s="91"/>
      <c r="Q235" s="46"/>
      <c r="R235" s="46"/>
      <c r="S235" s="46"/>
      <c r="T235" s="46"/>
      <c r="U235" s="46"/>
      <c r="V235" s="46"/>
      <c r="W235" s="46"/>
      <c r="X235" s="46"/>
      <c r="Y235" s="46"/>
      <c r="Z235" s="46"/>
      <c r="AA235" s="46"/>
      <c r="AB235" s="46"/>
      <c r="AC235" s="46"/>
      <c r="AD235" s="46"/>
      <c r="AE235" s="46"/>
      <c r="AF235" s="46"/>
      <c r="AG235" s="46"/>
      <c r="AH235" s="46"/>
      <c r="AI235" s="46"/>
      <c r="AJ235" s="46"/>
      <c r="AK235" s="46"/>
    </row>
    <row r="236">
      <c r="A236" s="93" t="s">
        <v>129</v>
      </c>
      <c r="B236" s="15" t="s">
        <v>130</v>
      </c>
      <c r="C236" s="99">
        <v>40483.0</v>
      </c>
      <c r="D236" s="29">
        <v>1.0</v>
      </c>
      <c r="E236" s="73">
        <v>75000.0</v>
      </c>
      <c r="F236" s="74"/>
      <c r="G236" s="74"/>
      <c r="H236" s="74"/>
      <c r="I236" s="73">
        <v>20000.0</v>
      </c>
      <c r="J236" s="74"/>
      <c r="K236" s="74"/>
      <c r="L236" s="74"/>
      <c r="O236" s="73">
        <v>25000.0</v>
      </c>
      <c r="P236" s="74"/>
    </row>
    <row r="237">
      <c r="A237" s="93" t="s">
        <v>129</v>
      </c>
      <c r="B237" s="15" t="s">
        <v>130</v>
      </c>
      <c r="C237" s="99">
        <v>40878.0</v>
      </c>
      <c r="D237" s="29">
        <v>2.0</v>
      </c>
      <c r="E237" s="73">
        <v>75000.0</v>
      </c>
      <c r="F237" s="74"/>
      <c r="G237" s="74"/>
      <c r="H237" s="74"/>
      <c r="I237" s="73">
        <v>20500.0</v>
      </c>
      <c r="J237" s="74"/>
      <c r="K237" s="74"/>
      <c r="L237" s="74"/>
      <c r="P237" s="74"/>
    </row>
    <row r="238">
      <c r="A238" s="93" t="s">
        <v>129</v>
      </c>
      <c r="B238" s="15" t="s">
        <v>130</v>
      </c>
      <c r="C238" s="100" t="s">
        <v>236</v>
      </c>
      <c r="D238" s="29">
        <v>3.0</v>
      </c>
      <c r="E238" s="73">
        <v>75000.0</v>
      </c>
      <c r="F238" s="74"/>
      <c r="G238" s="74"/>
      <c r="H238" s="74"/>
      <c r="I238" s="73">
        <v>21000.0</v>
      </c>
      <c r="J238" s="74"/>
      <c r="K238" s="74"/>
      <c r="L238" s="74"/>
      <c r="P238" s="74"/>
    </row>
    <row r="239">
      <c r="A239" s="93" t="s">
        <v>129</v>
      </c>
      <c r="B239" s="15" t="s">
        <v>130</v>
      </c>
      <c r="C239" s="100" t="s">
        <v>237</v>
      </c>
      <c r="D239" s="29">
        <v>4.0</v>
      </c>
      <c r="E239" s="73">
        <v>75000.0</v>
      </c>
      <c r="F239" s="74"/>
      <c r="G239" s="74"/>
      <c r="H239" s="74"/>
      <c r="I239" s="73">
        <v>21500.0</v>
      </c>
      <c r="J239" s="74"/>
      <c r="K239" s="74"/>
      <c r="L239" s="74"/>
      <c r="P239" s="74"/>
    </row>
    <row r="240">
      <c r="A240" s="93" t="s">
        <v>129</v>
      </c>
      <c r="B240" s="15" t="s">
        <v>130</v>
      </c>
      <c r="C240" s="100" t="s">
        <v>238</v>
      </c>
      <c r="D240" s="29">
        <v>5.0</v>
      </c>
      <c r="E240" s="73">
        <v>75000.0</v>
      </c>
      <c r="F240" s="74"/>
      <c r="G240" s="74"/>
      <c r="H240" s="74"/>
      <c r="I240" s="73">
        <v>22000.0</v>
      </c>
      <c r="J240" s="74"/>
      <c r="K240" s="74"/>
      <c r="L240" s="74"/>
      <c r="P240" s="74"/>
    </row>
    <row r="241">
      <c r="A241" s="93" t="s">
        <v>129</v>
      </c>
      <c r="B241" s="15" t="s">
        <v>130</v>
      </c>
      <c r="C241" s="11" t="s">
        <v>239</v>
      </c>
      <c r="D241" s="29">
        <v>6.0</v>
      </c>
      <c r="E241" s="73">
        <v>75000.0</v>
      </c>
      <c r="F241" s="74"/>
      <c r="G241" s="74"/>
      <c r="H241" s="74"/>
      <c r="I241" s="73">
        <v>25000.0</v>
      </c>
      <c r="J241" s="74"/>
      <c r="K241" s="74"/>
      <c r="L241" s="74"/>
      <c r="P241" s="74"/>
    </row>
    <row r="242">
      <c r="A242" s="93" t="s">
        <v>129</v>
      </c>
      <c r="B242" s="15" t="s">
        <v>130</v>
      </c>
      <c r="C242" s="101" t="s">
        <v>240</v>
      </c>
      <c r="D242" s="29">
        <v>7.0</v>
      </c>
      <c r="E242" s="73">
        <v>75000.0</v>
      </c>
      <c r="F242" s="74"/>
      <c r="G242" s="74"/>
      <c r="H242" s="74"/>
      <c r="I242" s="73">
        <v>25500.0</v>
      </c>
      <c r="J242" s="74"/>
      <c r="K242" s="74"/>
      <c r="L242" s="74"/>
      <c r="P242" s="74"/>
    </row>
    <row r="243">
      <c r="A243" s="93" t="s">
        <v>129</v>
      </c>
      <c r="B243" s="15" t="s">
        <v>130</v>
      </c>
      <c r="C243" s="101" t="s">
        <v>241</v>
      </c>
      <c r="D243" s="29">
        <v>8.0</v>
      </c>
      <c r="E243" s="73">
        <v>75000.0</v>
      </c>
      <c r="F243" s="74"/>
      <c r="G243" s="74"/>
      <c r="H243" s="74"/>
      <c r="I243" s="73">
        <v>26000.0</v>
      </c>
      <c r="J243" s="74"/>
      <c r="K243" s="74"/>
      <c r="L243" s="74"/>
      <c r="P243" s="74"/>
    </row>
    <row r="244">
      <c r="A244" s="44"/>
      <c r="B244" s="46"/>
      <c r="C244" s="77"/>
      <c r="D244" s="91"/>
      <c r="E244" s="91"/>
      <c r="F244" s="91"/>
      <c r="G244" s="91"/>
      <c r="H244" s="91"/>
      <c r="I244" s="91"/>
      <c r="J244" s="91"/>
      <c r="K244" s="91"/>
      <c r="L244" s="91"/>
      <c r="M244" s="46"/>
      <c r="N244" s="46"/>
      <c r="O244" s="46"/>
      <c r="P244" s="91"/>
      <c r="Q244" s="46"/>
      <c r="R244" s="46"/>
      <c r="S244" s="46"/>
      <c r="T244" s="46"/>
      <c r="U244" s="46"/>
      <c r="V244" s="46"/>
      <c r="W244" s="46"/>
      <c r="X244" s="46"/>
      <c r="Y244" s="46"/>
      <c r="Z244" s="46"/>
      <c r="AA244" s="46"/>
      <c r="AB244" s="46"/>
      <c r="AC244" s="46"/>
      <c r="AD244" s="46"/>
      <c r="AE244" s="46"/>
      <c r="AF244" s="46"/>
      <c r="AG244" s="46"/>
      <c r="AH244" s="46"/>
      <c r="AI244" s="46"/>
      <c r="AJ244" s="46"/>
      <c r="AK244" s="46"/>
    </row>
    <row r="245">
      <c r="A245" s="28" t="s">
        <v>136</v>
      </c>
      <c r="B245" s="29" t="s">
        <v>137</v>
      </c>
      <c r="C245" s="102">
        <v>40087.0</v>
      </c>
      <c r="D245" s="72">
        <v>1.0</v>
      </c>
      <c r="E245" s="89"/>
      <c r="F245" s="89"/>
      <c r="G245" s="89"/>
      <c r="H245" s="89"/>
      <c r="I245" s="89"/>
      <c r="J245" s="89"/>
      <c r="K245" s="89"/>
      <c r="L245" s="89"/>
      <c r="M245" s="90"/>
      <c r="N245" s="90"/>
      <c r="O245" s="88">
        <v>10000.0</v>
      </c>
      <c r="P245" s="89"/>
      <c r="Q245" s="90"/>
      <c r="R245" s="90"/>
      <c r="S245" s="90"/>
      <c r="T245" s="90"/>
      <c r="U245" s="90"/>
      <c r="V245" s="90"/>
      <c r="W245" s="90"/>
      <c r="X245" s="90"/>
      <c r="Y245" s="90"/>
      <c r="Z245" s="90"/>
      <c r="AA245" s="90"/>
      <c r="AB245" s="90"/>
      <c r="AC245" s="90"/>
      <c r="AD245" s="90"/>
      <c r="AE245" s="90"/>
      <c r="AF245" s="90"/>
      <c r="AG245" s="90"/>
      <c r="AH245" s="90"/>
      <c r="AI245" s="90"/>
      <c r="AJ245" s="90"/>
      <c r="AK245" s="90"/>
    </row>
    <row r="246">
      <c r="A246" s="28" t="s">
        <v>136</v>
      </c>
      <c r="B246" s="29" t="s">
        <v>137</v>
      </c>
      <c r="C246" s="102">
        <v>40483.0</v>
      </c>
      <c r="D246" s="72">
        <v>2.0</v>
      </c>
      <c r="E246" s="89"/>
      <c r="F246" s="89"/>
      <c r="G246" s="89"/>
      <c r="H246" s="89"/>
      <c r="I246" s="89"/>
      <c r="J246" s="89"/>
      <c r="K246" s="89"/>
      <c r="L246" s="89"/>
      <c r="M246" s="90"/>
      <c r="N246" s="90"/>
      <c r="O246" s="88"/>
      <c r="P246" s="89"/>
      <c r="Q246" s="90"/>
      <c r="R246" s="90"/>
      <c r="S246" s="90"/>
      <c r="T246" s="90"/>
      <c r="U246" s="90"/>
      <c r="V246" s="90"/>
      <c r="W246" s="90"/>
      <c r="X246" s="90"/>
      <c r="Y246" s="90"/>
      <c r="Z246" s="90"/>
      <c r="AA246" s="90"/>
      <c r="AB246" s="90"/>
      <c r="AC246" s="90"/>
      <c r="AD246" s="90"/>
      <c r="AE246" s="90"/>
      <c r="AF246" s="90"/>
      <c r="AG246" s="90"/>
      <c r="AH246" s="90"/>
      <c r="AI246" s="90"/>
      <c r="AJ246" s="90"/>
      <c r="AK246" s="90"/>
    </row>
    <row r="247">
      <c r="A247" s="28" t="s">
        <v>136</v>
      </c>
      <c r="B247" s="29" t="s">
        <v>137</v>
      </c>
      <c r="C247" s="102">
        <v>40878.0</v>
      </c>
      <c r="D247" s="72">
        <v>3.0</v>
      </c>
      <c r="E247" s="89"/>
      <c r="F247" s="89"/>
      <c r="G247" s="89"/>
      <c r="H247" s="89"/>
      <c r="I247" s="89"/>
      <c r="J247" s="89"/>
      <c r="K247" s="89"/>
      <c r="L247" s="89"/>
      <c r="M247" s="90"/>
      <c r="N247" s="90"/>
      <c r="O247" s="88"/>
      <c r="P247" s="89"/>
      <c r="Q247" s="90"/>
      <c r="R247" s="90"/>
      <c r="S247" s="90"/>
      <c r="T247" s="90"/>
      <c r="U247" s="90"/>
      <c r="V247" s="90"/>
      <c r="W247" s="90"/>
      <c r="X247" s="90"/>
      <c r="Y247" s="90"/>
      <c r="Z247" s="90"/>
      <c r="AA247" s="90"/>
      <c r="AB247" s="90"/>
      <c r="AC247" s="90"/>
      <c r="AD247" s="90"/>
      <c r="AE247" s="90"/>
      <c r="AF247" s="90"/>
      <c r="AG247" s="90"/>
      <c r="AH247" s="90"/>
      <c r="AI247" s="90"/>
      <c r="AJ247" s="90"/>
      <c r="AK247" s="90"/>
    </row>
    <row r="248">
      <c r="A248" s="28" t="s">
        <v>136</v>
      </c>
      <c r="B248" s="29" t="s">
        <v>137</v>
      </c>
      <c r="C248" s="87" t="s">
        <v>236</v>
      </c>
      <c r="D248" s="72">
        <v>4.0</v>
      </c>
      <c r="E248" s="89"/>
      <c r="F248" s="89"/>
      <c r="G248" s="89"/>
      <c r="H248" s="89"/>
      <c r="I248" s="89"/>
      <c r="J248" s="89"/>
      <c r="K248" s="89"/>
      <c r="L248" s="89"/>
      <c r="M248" s="90"/>
      <c r="N248" s="90"/>
      <c r="O248" s="88"/>
      <c r="P248" s="89"/>
      <c r="Q248" s="90"/>
      <c r="R248" s="90"/>
      <c r="S248" s="90"/>
      <c r="T248" s="90"/>
      <c r="U248" s="90"/>
      <c r="V248" s="90"/>
      <c r="W248" s="90"/>
      <c r="X248" s="90"/>
      <c r="Y248" s="90"/>
      <c r="Z248" s="90"/>
      <c r="AA248" s="90"/>
      <c r="AB248" s="90"/>
      <c r="AC248" s="90"/>
      <c r="AD248" s="90"/>
      <c r="AE248" s="90"/>
      <c r="AF248" s="90"/>
      <c r="AG248" s="90"/>
      <c r="AH248" s="90"/>
      <c r="AI248" s="90"/>
      <c r="AJ248" s="90"/>
      <c r="AK248" s="90"/>
    </row>
    <row r="249">
      <c r="A249" s="28" t="s">
        <v>136</v>
      </c>
      <c r="B249" s="29" t="s">
        <v>137</v>
      </c>
      <c r="C249" s="87" t="s">
        <v>237</v>
      </c>
      <c r="D249" s="72">
        <v>5.0</v>
      </c>
      <c r="E249" s="89"/>
      <c r="F249" s="89"/>
      <c r="G249" s="89"/>
      <c r="H249" s="89"/>
      <c r="I249" s="89"/>
      <c r="J249" s="89"/>
      <c r="K249" s="89"/>
      <c r="L249" s="89"/>
      <c r="M249" s="90"/>
      <c r="N249" s="90"/>
      <c r="O249" s="88"/>
      <c r="P249" s="89"/>
      <c r="Q249" s="90"/>
      <c r="R249" s="90"/>
      <c r="S249" s="90"/>
      <c r="T249" s="90"/>
      <c r="U249" s="90"/>
      <c r="V249" s="90"/>
      <c r="W249" s="90"/>
      <c r="X249" s="90"/>
      <c r="Y249" s="90"/>
      <c r="Z249" s="90"/>
      <c r="AA249" s="90"/>
      <c r="AB249" s="90"/>
      <c r="AC249" s="90"/>
      <c r="AD249" s="90"/>
      <c r="AE249" s="90"/>
      <c r="AF249" s="90"/>
      <c r="AG249" s="90"/>
      <c r="AH249" s="90"/>
      <c r="AI249" s="90"/>
      <c r="AJ249" s="90"/>
      <c r="AK249" s="90"/>
    </row>
    <row r="250">
      <c r="A250" s="44"/>
      <c r="B250" s="46"/>
      <c r="C250" s="77"/>
      <c r="D250" s="91"/>
      <c r="E250" s="91"/>
      <c r="F250" s="91"/>
      <c r="G250" s="91"/>
      <c r="H250" s="91"/>
      <c r="I250" s="91"/>
      <c r="J250" s="91"/>
      <c r="K250" s="91"/>
      <c r="L250" s="91"/>
      <c r="M250" s="46"/>
      <c r="N250" s="46"/>
      <c r="O250" s="46"/>
      <c r="P250" s="91"/>
      <c r="Q250" s="46"/>
      <c r="R250" s="46"/>
      <c r="S250" s="46"/>
      <c r="T250" s="46"/>
      <c r="U250" s="46"/>
      <c r="V250" s="46"/>
      <c r="W250" s="46"/>
      <c r="X250" s="46"/>
      <c r="Y250" s="46"/>
      <c r="Z250" s="46"/>
      <c r="AA250" s="46"/>
      <c r="AB250" s="46"/>
      <c r="AC250" s="46"/>
      <c r="AD250" s="46"/>
      <c r="AE250" s="46"/>
      <c r="AF250" s="46"/>
      <c r="AG250" s="46"/>
      <c r="AH250" s="46"/>
      <c r="AI250" s="46"/>
      <c r="AJ250" s="46"/>
      <c r="AK250" s="46"/>
    </row>
    <row r="251">
      <c r="A251" s="37" t="s">
        <v>146</v>
      </c>
      <c r="B251" s="35" t="s">
        <v>147</v>
      </c>
      <c r="C251" s="29" t="s">
        <v>239</v>
      </c>
      <c r="D251" s="29">
        <v>1.0</v>
      </c>
      <c r="E251" s="74"/>
      <c r="F251" s="74"/>
      <c r="G251" s="74"/>
      <c r="H251" s="73">
        <v>936000.0</v>
      </c>
      <c r="I251" s="74"/>
      <c r="J251" s="74"/>
      <c r="K251" s="74"/>
      <c r="L251" s="74"/>
      <c r="O251" s="95">
        <v>150000.0</v>
      </c>
      <c r="P251" s="74"/>
      <c r="X251" s="29"/>
      <c r="Y251" s="29" t="s">
        <v>253</v>
      </c>
    </row>
    <row r="252">
      <c r="A252" s="37" t="s">
        <v>146</v>
      </c>
      <c r="B252" s="35" t="s">
        <v>147</v>
      </c>
      <c r="C252" s="100" t="s">
        <v>240</v>
      </c>
      <c r="D252" s="29">
        <v>2.0</v>
      </c>
      <c r="E252" s="74"/>
      <c r="F252" s="74"/>
      <c r="G252" s="74"/>
      <c r="H252" s="73">
        <v>936000.0</v>
      </c>
      <c r="I252" s="74"/>
      <c r="J252" s="74"/>
      <c r="K252" s="74"/>
      <c r="L252" s="74"/>
      <c r="P252" s="74"/>
      <c r="X252" s="29"/>
      <c r="Y252" s="29" t="s">
        <v>253</v>
      </c>
    </row>
    <row r="253">
      <c r="A253" s="37" t="s">
        <v>146</v>
      </c>
      <c r="B253" s="35" t="s">
        <v>147</v>
      </c>
      <c r="C253" s="100" t="s">
        <v>241</v>
      </c>
      <c r="D253" s="29">
        <v>3.0</v>
      </c>
      <c r="E253" s="74"/>
      <c r="F253" s="74"/>
      <c r="G253" s="74"/>
      <c r="H253" s="73">
        <v>936000.0</v>
      </c>
      <c r="I253" s="74"/>
      <c r="J253" s="74"/>
      <c r="K253" s="74"/>
      <c r="L253" s="74"/>
      <c r="P253" s="74"/>
      <c r="X253" s="29"/>
      <c r="Y253" s="29" t="s">
        <v>253</v>
      </c>
    </row>
    <row r="254">
      <c r="A254" s="37" t="s">
        <v>146</v>
      </c>
      <c r="B254" s="35" t="s">
        <v>147</v>
      </c>
      <c r="C254" s="100" t="s">
        <v>242</v>
      </c>
      <c r="D254" s="29">
        <v>4.0</v>
      </c>
      <c r="E254" s="74"/>
      <c r="F254" s="74"/>
      <c r="G254" s="74"/>
      <c r="H254" s="73">
        <v>936000.0</v>
      </c>
      <c r="I254" s="74"/>
      <c r="J254" s="74"/>
      <c r="K254" s="74"/>
      <c r="L254" s="74"/>
      <c r="P254" s="74"/>
      <c r="X254" s="29"/>
      <c r="Y254" s="29" t="s">
        <v>253</v>
      </c>
    </row>
    <row r="255">
      <c r="A255" s="37" t="s">
        <v>146</v>
      </c>
      <c r="B255" s="35" t="s">
        <v>147</v>
      </c>
      <c r="C255" s="100" t="s">
        <v>243</v>
      </c>
      <c r="D255" s="29">
        <v>5.0</v>
      </c>
      <c r="E255" s="74"/>
      <c r="F255" s="74"/>
      <c r="G255" s="74"/>
      <c r="H255" s="73">
        <v>936000.0</v>
      </c>
      <c r="I255" s="74"/>
      <c r="J255" s="74"/>
      <c r="K255" s="74"/>
      <c r="L255" s="74"/>
      <c r="P255" s="74"/>
      <c r="X255" s="29"/>
      <c r="Y255" s="29" t="s">
        <v>253</v>
      </c>
    </row>
    <row r="256">
      <c r="A256" s="37" t="s">
        <v>146</v>
      </c>
      <c r="B256" s="35" t="s">
        <v>147</v>
      </c>
      <c r="C256" s="100" t="s">
        <v>244</v>
      </c>
      <c r="D256" s="29">
        <v>6.0</v>
      </c>
      <c r="E256" s="74"/>
      <c r="F256" s="74"/>
      <c r="G256" s="74"/>
      <c r="H256" s="73">
        <v>936000.0</v>
      </c>
      <c r="I256" s="74"/>
      <c r="J256" s="74"/>
      <c r="K256" s="74"/>
      <c r="L256" s="74"/>
      <c r="P256" s="74"/>
      <c r="X256" s="29"/>
      <c r="Y256" s="29" t="s">
        <v>253</v>
      </c>
    </row>
    <row r="257">
      <c r="A257" s="37" t="s">
        <v>146</v>
      </c>
      <c r="B257" s="35" t="s">
        <v>147</v>
      </c>
      <c r="C257" s="100" t="s">
        <v>247</v>
      </c>
      <c r="D257" s="29">
        <v>7.0</v>
      </c>
      <c r="E257" s="74"/>
      <c r="F257" s="74"/>
      <c r="G257" s="74"/>
      <c r="H257" s="73">
        <v>936000.0</v>
      </c>
      <c r="I257" s="74"/>
      <c r="J257" s="74"/>
      <c r="K257" s="74"/>
      <c r="L257" s="74"/>
      <c r="P257" s="74"/>
      <c r="X257" s="29"/>
      <c r="Y257" s="29" t="s">
        <v>253</v>
      </c>
    </row>
    <row r="258">
      <c r="A258" s="37" t="s">
        <v>146</v>
      </c>
      <c r="B258" s="35" t="s">
        <v>147</v>
      </c>
      <c r="C258" s="100" t="s">
        <v>248</v>
      </c>
      <c r="D258" s="29">
        <v>8.0</v>
      </c>
      <c r="E258" s="74"/>
      <c r="F258" s="74"/>
      <c r="G258" s="74"/>
      <c r="H258" s="73">
        <v>936000.0</v>
      </c>
      <c r="I258" s="74"/>
      <c r="J258" s="74"/>
      <c r="K258" s="74"/>
      <c r="L258" s="74"/>
      <c r="P258" s="74"/>
      <c r="X258" s="29"/>
      <c r="Y258" s="29" t="s">
        <v>253</v>
      </c>
    </row>
    <row r="259">
      <c r="A259" s="37" t="s">
        <v>146</v>
      </c>
      <c r="B259" s="35" t="s">
        <v>147</v>
      </c>
      <c r="C259" s="76" t="s">
        <v>249</v>
      </c>
      <c r="D259" s="29">
        <v>9.0</v>
      </c>
      <c r="E259" s="74"/>
      <c r="F259" s="74"/>
      <c r="G259" s="74"/>
      <c r="H259" s="73">
        <v>936000.0</v>
      </c>
      <c r="I259" s="74"/>
      <c r="J259" s="74"/>
      <c r="K259" s="74"/>
      <c r="L259" s="74"/>
      <c r="P259" s="74"/>
      <c r="X259" s="29"/>
      <c r="Y259" s="29" t="s">
        <v>253</v>
      </c>
    </row>
    <row r="260">
      <c r="A260" s="37" t="s">
        <v>146</v>
      </c>
      <c r="B260" s="35" t="s">
        <v>147</v>
      </c>
      <c r="C260" s="76" t="s">
        <v>250</v>
      </c>
      <c r="D260" s="29">
        <v>10.0</v>
      </c>
      <c r="E260" s="74"/>
      <c r="F260" s="74"/>
      <c r="G260" s="74"/>
      <c r="H260" s="73">
        <v>936000.0</v>
      </c>
      <c r="I260" s="74"/>
      <c r="J260" s="74"/>
      <c r="K260" s="74"/>
      <c r="L260" s="74"/>
      <c r="P260" s="74"/>
      <c r="X260" s="29"/>
      <c r="Y260" s="29" t="s">
        <v>253</v>
      </c>
    </row>
    <row r="261">
      <c r="A261" s="44"/>
      <c r="B261" s="46"/>
      <c r="C261" s="77"/>
      <c r="D261" s="91"/>
      <c r="E261" s="91"/>
      <c r="F261" s="91"/>
      <c r="G261" s="91"/>
      <c r="H261" s="91"/>
      <c r="I261" s="91"/>
      <c r="J261" s="91"/>
      <c r="K261" s="91"/>
      <c r="L261" s="91"/>
      <c r="M261" s="46"/>
      <c r="N261" s="46"/>
      <c r="O261" s="46"/>
      <c r="P261" s="91"/>
      <c r="Q261" s="46"/>
      <c r="R261" s="46"/>
      <c r="S261" s="46"/>
      <c r="T261" s="46"/>
      <c r="U261" s="46"/>
      <c r="V261" s="46"/>
      <c r="W261" s="46"/>
      <c r="X261" s="46"/>
      <c r="Y261" s="46"/>
      <c r="Z261" s="46"/>
      <c r="AA261" s="46"/>
      <c r="AB261" s="46"/>
      <c r="AC261" s="46"/>
      <c r="AD261" s="46"/>
      <c r="AE261" s="46"/>
      <c r="AF261" s="46"/>
      <c r="AG261" s="46"/>
      <c r="AH261" s="46"/>
      <c r="AI261" s="46"/>
      <c r="AJ261" s="46"/>
      <c r="AK261" s="46"/>
    </row>
    <row r="262">
      <c r="A262" s="37" t="s">
        <v>151</v>
      </c>
      <c r="B262" s="7" t="s">
        <v>152</v>
      </c>
      <c r="C262" s="76">
        <v>2011.0</v>
      </c>
      <c r="D262" s="29">
        <v>1.0</v>
      </c>
      <c r="E262" s="74"/>
      <c r="F262" s="74"/>
      <c r="G262" s="74"/>
      <c r="I262" s="74"/>
      <c r="J262" s="74"/>
      <c r="K262" s="74"/>
      <c r="L262" s="74"/>
      <c r="O262" s="73">
        <v>15000.0</v>
      </c>
      <c r="P262" s="74"/>
    </row>
    <row r="263">
      <c r="A263" s="37" t="s">
        <v>151</v>
      </c>
      <c r="B263" s="7" t="s">
        <v>152</v>
      </c>
      <c r="C263" s="76">
        <v>2012.0</v>
      </c>
      <c r="D263" s="29">
        <v>2.0</v>
      </c>
      <c r="E263" s="74"/>
      <c r="F263" s="74"/>
      <c r="G263" s="74"/>
      <c r="H263" s="74"/>
      <c r="I263" s="74"/>
      <c r="J263" s="74"/>
      <c r="K263" s="74"/>
      <c r="L263" s="74"/>
      <c r="O263" s="73">
        <v>5000.0</v>
      </c>
      <c r="P263" s="74"/>
    </row>
    <row r="264">
      <c r="A264" s="37" t="s">
        <v>151</v>
      </c>
      <c r="B264" s="7" t="s">
        <v>152</v>
      </c>
      <c r="C264" s="76">
        <v>2013.0</v>
      </c>
      <c r="D264" s="29">
        <v>3.0</v>
      </c>
      <c r="E264" s="74"/>
      <c r="F264" s="74"/>
      <c r="G264" s="74"/>
      <c r="H264" s="74"/>
      <c r="I264" s="74"/>
      <c r="J264" s="74"/>
      <c r="K264" s="74"/>
      <c r="L264" s="74"/>
      <c r="P264" s="74"/>
    </row>
    <row r="265">
      <c r="A265" s="37" t="s">
        <v>151</v>
      </c>
      <c r="B265" s="7" t="s">
        <v>152</v>
      </c>
      <c r="C265" s="76">
        <v>2014.0</v>
      </c>
      <c r="D265" s="29">
        <v>4.0</v>
      </c>
      <c r="E265" s="74"/>
      <c r="F265" s="74"/>
      <c r="G265" s="74"/>
      <c r="H265" s="74"/>
      <c r="I265" s="74"/>
      <c r="J265" s="74"/>
      <c r="K265" s="74"/>
      <c r="L265" s="74"/>
      <c r="P265" s="74"/>
    </row>
    <row r="266">
      <c r="A266" s="37" t="s">
        <v>151</v>
      </c>
      <c r="B266" s="7" t="s">
        <v>152</v>
      </c>
      <c r="C266" s="76">
        <v>2015.0</v>
      </c>
      <c r="D266" s="29">
        <v>5.0</v>
      </c>
      <c r="E266" s="74"/>
      <c r="F266" s="74"/>
      <c r="G266" s="74"/>
      <c r="H266" s="74"/>
      <c r="I266" s="74"/>
      <c r="J266" s="74"/>
      <c r="K266" s="74"/>
      <c r="L266" s="74"/>
      <c r="P266" s="74"/>
    </row>
    <row r="267">
      <c r="A267" s="37" t="s">
        <v>151</v>
      </c>
      <c r="B267" s="7" t="s">
        <v>152</v>
      </c>
      <c r="C267" s="76">
        <v>2016.0</v>
      </c>
      <c r="D267" s="29">
        <v>6.0</v>
      </c>
      <c r="E267" s="74"/>
      <c r="F267" s="74"/>
      <c r="G267" s="74"/>
      <c r="H267" s="73">
        <v>8500.0</v>
      </c>
      <c r="I267" s="74"/>
      <c r="J267" s="74"/>
      <c r="K267" s="74"/>
      <c r="L267" s="74"/>
      <c r="P267" s="74"/>
      <c r="X267" s="29"/>
      <c r="Y267" s="29" t="s">
        <v>254</v>
      </c>
    </row>
    <row r="268">
      <c r="A268" s="37" t="s">
        <v>151</v>
      </c>
      <c r="B268" s="7" t="s">
        <v>152</v>
      </c>
      <c r="C268" s="76">
        <v>2017.0</v>
      </c>
      <c r="D268" s="29">
        <v>7.0</v>
      </c>
      <c r="E268" s="74"/>
      <c r="F268" s="74"/>
      <c r="G268" s="74"/>
      <c r="H268" s="74"/>
      <c r="I268" s="74"/>
      <c r="J268" s="74"/>
      <c r="K268" s="74"/>
      <c r="L268" s="74"/>
      <c r="P268" s="74"/>
    </row>
    <row r="269">
      <c r="A269" s="37" t="s">
        <v>151</v>
      </c>
      <c r="B269" s="7" t="s">
        <v>152</v>
      </c>
      <c r="C269" s="76" t="s">
        <v>255</v>
      </c>
      <c r="D269" s="29">
        <v>8.0</v>
      </c>
      <c r="E269" s="74"/>
      <c r="F269" s="74"/>
      <c r="G269" s="74"/>
      <c r="H269" s="74"/>
      <c r="I269" s="74"/>
      <c r="J269" s="74"/>
      <c r="K269" s="74"/>
      <c r="L269" s="74"/>
      <c r="P269" s="74"/>
    </row>
    <row r="270">
      <c r="A270" s="37" t="s">
        <v>151</v>
      </c>
      <c r="B270" s="7" t="s">
        <v>152</v>
      </c>
      <c r="C270" s="76" t="s">
        <v>256</v>
      </c>
      <c r="D270" s="29">
        <v>9.0</v>
      </c>
      <c r="E270" s="74"/>
      <c r="F270" s="74"/>
      <c r="G270" s="74"/>
      <c r="H270" s="74"/>
      <c r="I270" s="74"/>
      <c r="J270" s="74"/>
      <c r="K270" s="74"/>
      <c r="L270" s="74"/>
      <c r="P270" s="74"/>
    </row>
    <row r="271">
      <c r="A271" s="37" t="s">
        <v>151</v>
      </c>
      <c r="B271" s="7" t="s">
        <v>152</v>
      </c>
      <c r="C271" s="76" t="s">
        <v>257</v>
      </c>
      <c r="D271" s="29">
        <v>10.0</v>
      </c>
      <c r="E271" s="74"/>
      <c r="F271" s="74"/>
      <c r="G271" s="74"/>
      <c r="H271" s="74"/>
      <c r="I271" s="74"/>
      <c r="J271" s="74"/>
      <c r="K271" s="74"/>
      <c r="L271" s="74"/>
      <c r="P271" s="74"/>
    </row>
    <row r="272">
      <c r="A272" s="44"/>
      <c r="B272" s="46"/>
      <c r="C272" s="77"/>
      <c r="D272" s="91"/>
      <c r="E272" s="91"/>
      <c r="F272" s="91"/>
      <c r="G272" s="91"/>
      <c r="H272" s="91"/>
      <c r="I272" s="91"/>
      <c r="J272" s="91"/>
      <c r="K272" s="91"/>
      <c r="L272" s="91"/>
      <c r="M272" s="46"/>
      <c r="N272" s="46"/>
      <c r="O272" s="46"/>
      <c r="P272" s="91"/>
      <c r="Q272" s="46"/>
      <c r="R272" s="46"/>
      <c r="S272" s="46"/>
      <c r="T272" s="46"/>
      <c r="U272" s="46"/>
      <c r="V272" s="46"/>
      <c r="W272" s="46"/>
      <c r="X272" s="46"/>
      <c r="Y272" s="46"/>
      <c r="Z272" s="46"/>
      <c r="AA272" s="46"/>
      <c r="AB272" s="46"/>
      <c r="AC272" s="46"/>
      <c r="AD272" s="46"/>
      <c r="AE272" s="46"/>
      <c r="AF272" s="46"/>
      <c r="AG272" s="46"/>
      <c r="AH272" s="46"/>
      <c r="AI272" s="46"/>
      <c r="AJ272" s="46"/>
      <c r="AK272" s="46"/>
    </row>
    <row r="273">
      <c r="A273" s="37" t="s">
        <v>154</v>
      </c>
      <c r="B273" s="7" t="s">
        <v>155</v>
      </c>
      <c r="C273" s="103">
        <v>2011.0</v>
      </c>
      <c r="D273" s="29">
        <v>1.0</v>
      </c>
      <c r="E273" s="74"/>
      <c r="F273" s="74"/>
      <c r="G273" s="64">
        <v>30000.0</v>
      </c>
      <c r="I273" s="74"/>
      <c r="J273" s="74"/>
      <c r="K273" s="74"/>
      <c r="L273" s="74"/>
      <c r="P273" s="74"/>
      <c r="X273" s="29"/>
      <c r="Y273" s="29" t="s">
        <v>258</v>
      </c>
    </row>
    <row r="274">
      <c r="A274" s="37" t="s">
        <v>154</v>
      </c>
      <c r="B274" s="7" t="s">
        <v>155</v>
      </c>
      <c r="C274" s="103">
        <v>2012.0</v>
      </c>
      <c r="D274" s="29">
        <v>2.0</v>
      </c>
      <c r="E274" s="74"/>
      <c r="F274" s="74"/>
      <c r="G274" s="104" t="s">
        <v>259</v>
      </c>
      <c r="I274" s="74"/>
      <c r="J274" s="74"/>
      <c r="K274" s="74"/>
      <c r="L274" s="74"/>
      <c r="P274" s="74"/>
      <c r="X274" s="29"/>
      <c r="Y274" s="29" t="s">
        <v>258</v>
      </c>
    </row>
    <row r="275">
      <c r="A275" s="37" t="s">
        <v>154</v>
      </c>
      <c r="B275" s="7" t="s">
        <v>155</v>
      </c>
      <c r="C275" s="103">
        <v>2013.0</v>
      </c>
      <c r="D275" s="29">
        <v>3.0</v>
      </c>
      <c r="E275" s="74"/>
      <c r="F275" s="74"/>
      <c r="G275" s="104" t="s">
        <v>259</v>
      </c>
      <c r="I275" s="74"/>
      <c r="J275" s="74"/>
      <c r="K275" s="74"/>
      <c r="L275" s="74"/>
      <c r="P275" s="74"/>
      <c r="X275" s="29"/>
      <c r="Y275" s="29" t="s">
        <v>258</v>
      </c>
    </row>
    <row r="276">
      <c r="A276" s="37" t="s">
        <v>154</v>
      </c>
      <c r="B276" s="7" t="s">
        <v>155</v>
      </c>
      <c r="C276" s="103">
        <v>2014.0</v>
      </c>
      <c r="D276" s="29">
        <v>4.0</v>
      </c>
      <c r="E276" s="74"/>
      <c r="F276" s="74"/>
      <c r="G276" s="104" t="s">
        <v>259</v>
      </c>
      <c r="I276" s="74"/>
      <c r="J276" s="74"/>
      <c r="K276" s="74"/>
      <c r="L276" s="74"/>
      <c r="P276" s="74"/>
      <c r="X276" s="29"/>
      <c r="Y276" s="29" t="s">
        <v>258</v>
      </c>
    </row>
    <row r="277">
      <c r="A277" s="37" t="s">
        <v>154</v>
      </c>
      <c r="B277" s="27" t="s">
        <v>155</v>
      </c>
      <c r="C277" s="105">
        <v>2015.0</v>
      </c>
      <c r="D277" s="72">
        <v>5.0</v>
      </c>
      <c r="E277" s="89"/>
      <c r="F277" s="89"/>
      <c r="G277" s="104" t="s">
        <v>259</v>
      </c>
      <c r="I277" s="89"/>
      <c r="J277" s="89"/>
      <c r="K277" s="89"/>
      <c r="L277" s="89"/>
      <c r="M277" s="90"/>
      <c r="N277" s="88"/>
      <c r="O277" s="88">
        <v>30000.0</v>
      </c>
      <c r="P277" s="89"/>
      <c r="Q277" s="90"/>
      <c r="R277" s="90"/>
      <c r="S277" s="90"/>
      <c r="T277" s="90"/>
      <c r="U277" s="90"/>
      <c r="V277" s="71">
        <v>24999.0</v>
      </c>
      <c r="W277" s="90"/>
      <c r="X277" s="72"/>
      <c r="Y277" s="72" t="s">
        <v>258</v>
      </c>
      <c r="Z277" s="90"/>
      <c r="AA277" s="90"/>
      <c r="AB277" s="90"/>
      <c r="AC277" s="90"/>
      <c r="AD277" s="90"/>
      <c r="AE277" s="90"/>
      <c r="AF277" s="90"/>
      <c r="AG277" s="90"/>
      <c r="AH277" s="90"/>
      <c r="AI277" s="90"/>
      <c r="AJ277" s="90"/>
      <c r="AK277" s="90"/>
    </row>
    <row r="278">
      <c r="A278" s="37" t="s">
        <v>154</v>
      </c>
      <c r="B278" s="27" t="s">
        <v>155</v>
      </c>
      <c r="C278" s="105">
        <v>2016.0</v>
      </c>
      <c r="D278" s="72">
        <v>6.0</v>
      </c>
      <c r="E278" s="89"/>
      <c r="F278" s="89"/>
      <c r="G278" s="104" t="s">
        <v>259</v>
      </c>
      <c r="I278" s="89"/>
      <c r="J278" s="89"/>
      <c r="K278" s="89"/>
      <c r="L278" s="89"/>
      <c r="M278" s="90"/>
      <c r="N278" s="90"/>
      <c r="O278" s="90"/>
      <c r="P278" s="89"/>
      <c r="Q278" s="90"/>
      <c r="R278" s="90"/>
      <c r="S278" s="90"/>
      <c r="T278" s="90"/>
      <c r="U278" s="90"/>
      <c r="V278" s="71">
        <v>27082.0</v>
      </c>
      <c r="W278" s="90"/>
      <c r="X278" s="72"/>
      <c r="Y278" s="72" t="s">
        <v>258</v>
      </c>
      <c r="Z278" s="90"/>
      <c r="AA278" s="90"/>
      <c r="AB278" s="90"/>
      <c r="AC278" s="90"/>
      <c r="AD278" s="90"/>
      <c r="AE278" s="90"/>
      <c r="AF278" s="90"/>
      <c r="AG278" s="90"/>
      <c r="AH278" s="90"/>
      <c r="AI278" s="90"/>
      <c r="AJ278" s="90"/>
      <c r="AK278" s="90"/>
    </row>
    <row r="279">
      <c r="A279" s="37" t="s">
        <v>154</v>
      </c>
      <c r="B279" s="27" t="s">
        <v>155</v>
      </c>
      <c r="C279" s="105">
        <v>2017.0</v>
      </c>
      <c r="D279" s="72">
        <v>7.0</v>
      </c>
      <c r="E279" s="89"/>
      <c r="F279" s="89"/>
      <c r="G279" s="104" t="s">
        <v>259</v>
      </c>
      <c r="I279" s="89"/>
      <c r="J279" s="89"/>
      <c r="K279" s="89"/>
      <c r="L279" s="89"/>
      <c r="M279" s="90"/>
      <c r="N279" s="90"/>
      <c r="O279" s="90"/>
      <c r="P279" s="89"/>
      <c r="Q279" s="90"/>
      <c r="R279" s="90"/>
      <c r="S279" s="90"/>
      <c r="T279" s="90"/>
      <c r="U279" s="90"/>
      <c r="V279" s="71">
        <v>29165.0</v>
      </c>
      <c r="W279" s="90"/>
      <c r="X279" s="72"/>
      <c r="Y279" s="72" t="s">
        <v>258</v>
      </c>
      <c r="Z279" s="90"/>
      <c r="AA279" s="90"/>
      <c r="AB279" s="90"/>
      <c r="AC279" s="90"/>
      <c r="AD279" s="90"/>
      <c r="AE279" s="90"/>
      <c r="AF279" s="90"/>
      <c r="AG279" s="90"/>
      <c r="AH279" s="90"/>
      <c r="AI279" s="90"/>
      <c r="AJ279" s="90"/>
      <c r="AK279" s="90"/>
    </row>
    <row r="280">
      <c r="A280" s="37" t="s">
        <v>154</v>
      </c>
      <c r="B280" s="7" t="s">
        <v>155</v>
      </c>
      <c r="C280" s="103" t="s">
        <v>255</v>
      </c>
      <c r="D280" s="29">
        <v>8.0</v>
      </c>
      <c r="E280" s="74"/>
      <c r="F280" s="74"/>
      <c r="G280" s="104" t="s">
        <v>259</v>
      </c>
      <c r="I280" s="74"/>
      <c r="J280" s="74"/>
      <c r="K280" s="74"/>
      <c r="L280" s="74"/>
      <c r="P280" s="74"/>
      <c r="X280" s="29"/>
      <c r="Y280" s="29" t="s">
        <v>258</v>
      </c>
    </row>
    <row r="281">
      <c r="A281" s="37" t="s">
        <v>154</v>
      </c>
      <c r="B281" s="7" t="s">
        <v>155</v>
      </c>
      <c r="C281" s="103" t="s">
        <v>256</v>
      </c>
      <c r="D281" s="29">
        <v>9.0</v>
      </c>
      <c r="E281" s="74"/>
      <c r="F281" s="74"/>
      <c r="G281" s="104" t="s">
        <v>259</v>
      </c>
      <c r="I281" s="74"/>
      <c r="J281" s="74"/>
      <c r="K281" s="74"/>
      <c r="L281" s="74"/>
      <c r="P281" s="74"/>
      <c r="X281" s="29"/>
      <c r="Y281" s="29" t="s">
        <v>258</v>
      </c>
    </row>
    <row r="282">
      <c r="A282" s="37" t="s">
        <v>154</v>
      </c>
      <c r="B282" s="7" t="s">
        <v>155</v>
      </c>
      <c r="C282" s="103" t="s">
        <v>257</v>
      </c>
      <c r="D282" s="29">
        <v>10.0</v>
      </c>
      <c r="E282" s="74"/>
      <c r="F282" s="74"/>
      <c r="G282" s="104" t="s">
        <v>259</v>
      </c>
      <c r="I282" s="74"/>
      <c r="J282" s="74"/>
      <c r="K282" s="74"/>
      <c r="L282" s="74"/>
      <c r="P282" s="74"/>
      <c r="X282" s="29"/>
      <c r="Y282" s="29" t="s">
        <v>258</v>
      </c>
    </row>
    <row r="283">
      <c r="A283" s="37" t="s">
        <v>154</v>
      </c>
      <c r="B283" s="7" t="s">
        <v>155</v>
      </c>
      <c r="C283" s="76" t="s">
        <v>260</v>
      </c>
      <c r="D283" s="29">
        <v>11.0</v>
      </c>
      <c r="E283" s="74"/>
      <c r="F283" s="74"/>
      <c r="G283" s="104" t="s">
        <v>259</v>
      </c>
      <c r="I283" s="74"/>
      <c r="J283" s="74"/>
      <c r="K283" s="74"/>
      <c r="L283" s="74"/>
      <c r="P283" s="74"/>
      <c r="X283" s="29"/>
      <c r="Y283" s="29" t="s">
        <v>258</v>
      </c>
    </row>
    <row r="284">
      <c r="A284" s="44"/>
      <c r="B284" s="46"/>
      <c r="C284" s="77"/>
      <c r="D284" s="91"/>
      <c r="E284" s="91"/>
      <c r="F284" s="91"/>
      <c r="G284" s="91"/>
      <c r="H284" s="91"/>
      <c r="I284" s="91"/>
      <c r="J284" s="91"/>
      <c r="K284" s="91"/>
      <c r="L284" s="91"/>
      <c r="M284" s="46"/>
      <c r="N284" s="46"/>
      <c r="O284" s="46"/>
      <c r="P284" s="91"/>
      <c r="Q284" s="46"/>
      <c r="R284" s="46"/>
      <c r="S284" s="46"/>
      <c r="T284" s="46"/>
      <c r="U284" s="46"/>
      <c r="V284" s="46"/>
      <c r="W284" s="46"/>
      <c r="X284" s="46"/>
      <c r="Y284" s="46"/>
      <c r="Z284" s="46"/>
      <c r="AA284" s="46"/>
      <c r="AB284" s="46"/>
      <c r="AC284" s="46"/>
      <c r="AD284" s="46"/>
      <c r="AE284" s="46"/>
      <c r="AF284" s="46"/>
      <c r="AG284" s="46"/>
      <c r="AH284" s="46"/>
      <c r="AI284" s="46"/>
      <c r="AJ284" s="46"/>
      <c r="AK284" s="46"/>
    </row>
    <row r="285">
      <c r="A285" s="5" t="s">
        <v>157</v>
      </c>
      <c r="B285" s="27" t="s">
        <v>158</v>
      </c>
      <c r="C285" s="76">
        <v>2012.0</v>
      </c>
      <c r="D285" s="29">
        <v>1.0</v>
      </c>
      <c r="E285" s="74"/>
      <c r="F285" s="74"/>
      <c r="G285" s="74"/>
      <c r="H285" s="74"/>
      <c r="I285" s="74"/>
      <c r="J285" s="74"/>
      <c r="K285" s="74"/>
      <c r="L285" s="74"/>
      <c r="O285" s="73">
        <v>35000.0</v>
      </c>
      <c r="P285" s="74"/>
    </row>
    <row r="286">
      <c r="A286" s="5" t="s">
        <v>157</v>
      </c>
      <c r="B286" s="27" t="s">
        <v>158</v>
      </c>
      <c r="C286" s="76">
        <v>2013.0</v>
      </c>
      <c r="D286" s="29">
        <v>2.0</v>
      </c>
      <c r="E286" s="74"/>
      <c r="F286" s="74"/>
      <c r="G286" s="74"/>
      <c r="H286" s="74"/>
      <c r="I286" s="74"/>
      <c r="J286" s="74"/>
      <c r="K286" s="74"/>
      <c r="L286" s="74"/>
      <c r="P286" s="74"/>
    </row>
    <row r="287">
      <c r="A287" s="5" t="s">
        <v>157</v>
      </c>
      <c r="B287" s="27" t="s">
        <v>158</v>
      </c>
      <c r="C287" s="76">
        <v>2014.0</v>
      </c>
      <c r="D287" s="29">
        <v>3.0</v>
      </c>
      <c r="E287" s="74"/>
      <c r="F287" s="74"/>
      <c r="G287" s="74"/>
      <c r="H287" s="74"/>
      <c r="I287" s="74"/>
      <c r="J287" s="74"/>
      <c r="K287" s="74"/>
      <c r="L287" s="74"/>
      <c r="P287" s="74"/>
    </row>
    <row r="288">
      <c r="A288" s="5" t="s">
        <v>157</v>
      </c>
      <c r="B288" s="27" t="s">
        <v>158</v>
      </c>
      <c r="C288" s="76">
        <v>2015.0</v>
      </c>
      <c r="D288" s="29">
        <v>4.0</v>
      </c>
      <c r="E288" s="74"/>
      <c r="F288" s="74"/>
      <c r="G288" s="74"/>
      <c r="H288" s="74"/>
      <c r="I288" s="74"/>
      <c r="J288" s="74"/>
      <c r="K288" s="74"/>
      <c r="L288" s="74"/>
      <c r="P288" s="74"/>
    </row>
    <row r="289">
      <c r="A289" s="5" t="s">
        <v>157</v>
      </c>
      <c r="B289" s="27" t="s">
        <v>158</v>
      </c>
      <c r="C289" s="76">
        <v>2016.0</v>
      </c>
      <c r="D289" s="29">
        <v>5.0</v>
      </c>
      <c r="E289" s="74"/>
      <c r="F289" s="74"/>
      <c r="G289" s="74"/>
      <c r="H289" s="74"/>
      <c r="I289" s="74"/>
      <c r="J289" s="74"/>
      <c r="K289" s="74"/>
      <c r="L289" s="74"/>
      <c r="P289" s="74"/>
    </row>
    <row r="290">
      <c r="A290" s="44"/>
      <c r="B290" s="46"/>
      <c r="C290" s="77"/>
      <c r="D290" s="91"/>
      <c r="E290" s="91"/>
      <c r="F290" s="91"/>
      <c r="G290" s="91"/>
      <c r="H290" s="91"/>
      <c r="I290" s="91"/>
      <c r="J290" s="91"/>
      <c r="K290" s="91"/>
      <c r="L290" s="91"/>
      <c r="M290" s="46"/>
      <c r="N290" s="46"/>
      <c r="O290" s="46"/>
      <c r="P290" s="91"/>
      <c r="Q290" s="46"/>
      <c r="R290" s="46"/>
      <c r="S290" s="46"/>
      <c r="T290" s="46"/>
      <c r="U290" s="46"/>
      <c r="V290" s="46"/>
      <c r="W290" s="46"/>
      <c r="X290" s="46"/>
      <c r="Y290" s="46"/>
      <c r="Z290" s="46"/>
      <c r="AA290" s="46"/>
      <c r="AB290" s="46"/>
      <c r="AC290" s="46"/>
      <c r="AD290" s="46"/>
      <c r="AE290" s="46"/>
      <c r="AF290" s="46"/>
      <c r="AG290" s="46"/>
      <c r="AH290" s="46"/>
      <c r="AI290" s="46"/>
      <c r="AJ290" s="46"/>
      <c r="AK290" s="46"/>
    </row>
    <row r="291">
      <c r="A291" s="37" t="s">
        <v>160</v>
      </c>
      <c r="B291" s="7" t="s">
        <v>161</v>
      </c>
      <c r="C291" s="103">
        <v>2015.0</v>
      </c>
      <c r="D291" s="29">
        <v>1.0</v>
      </c>
      <c r="E291" s="74"/>
      <c r="F291" s="74"/>
      <c r="G291" s="73">
        <v>40000.0</v>
      </c>
      <c r="H291" s="74"/>
      <c r="I291" s="73">
        <v>50000.0</v>
      </c>
      <c r="J291" s="74"/>
      <c r="K291" s="74"/>
      <c r="L291" s="74"/>
      <c r="P291" s="74"/>
    </row>
    <row r="292">
      <c r="A292" s="37" t="s">
        <v>160</v>
      </c>
      <c r="B292" s="7" t="s">
        <v>161</v>
      </c>
      <c r="C292" s="103">
        <v>2016.0</v>
      </c>
      <c r="D292" s="29">
        <v>2.0</v>
      </c>
      <c r="E292" s="74"/>
      <c r="F292" s="74"/>
      <c r="G292" s="73">
        <v>40000.0</v>
      </c>
      <c r="H292" s="74"/>
      <c r="I292" s="73">
        <v>50000.0</v>
      </c>
      <c r="J292" s="74"/>
      <c r="K292" s="74"/>
      <c r="L292" s="74"/>
      <c r="P292" s="74"/>
    </row>
    <row r="293">
      <c r="A293" s="37" t="s">
        <v>160</v>
      </c>
      <c r="B293" s="7" t="s">
        <v>161</v>
      </c>
      <c r="C293" s="103">
        <v>2017.0</v>
      </c>
      <c r="D293" s="29">
        <v>3.0</v>
      </c>
      <c r="E293" s="74"/>
      <c r="F293" s="74"/>
      <c r="G293" s="73">
        <v>40000.0</v>
      </c>
      <c r="H293" s="74"/>
      <c r="I293" s="73">
        <v>50000.0</v>
      </c>
      <c r="J293" s="74"/>
      <c r="K293" s="74"/>
      <c r="L293" s="74"/>
      <c r="P293" s="74"/>
    </row>
    <row r="294">
      <c r="A294" s="37" t="s">
        <v>160</v>
      </c>
      <c r="B294" s="7" t="s">
        <v>161</v>
      </c>
      <c r="C294" s="103" t="s">
        <v>255</v>
      </c>
      <c r="D294" s="29">
        <v>4.0</v>
      </c>
      <c r="E294" s="74"/>
      <c r="F294" s="74"/>
      <c r="G294" s="73">
        <v>40000.0</v>
      </c>
      <c r="H294" s="74"/>
      <c r="I294" s="73">
        <v>50000.0</v>
      </c>
      <c r="J294" s="74"/>
      <c r="K294" s="74"/>
      <c r="L294" s="74"/>
      <c r="P294" s="74"/>
    </row>
    <row r="295">
      <c r="A295" s="37" t="s">
        <v>160</v>
      </c>
      <c r="B295" s="7" t="s">
        <v>161</v>
      </c>
      <c r="C295" s="76" t="s">
        <v>256</v>
      </c>
      <c r="D295" s="29">
        <v>5.0</v>
      </c>
      <c r="E295" s="74"/>
      <c r="F295" s="74"/>
      <c r="G295" s="73">
        <v>40000.0</v>
      </c>
      <c r="H295" s="74"/>
      <c r="I295" s="73">
        <v>50000.0</v>
      </c>
      <c r="J295" s="74"/>
      <c r="K295" s="74"/>
      <c r="L295" s="74"/>
      <c r="P295" s="74"/>
    </row>
    <row r="296">
      <c r="A296" s="37" t="s">
        <v>160</v>
      </c>
      <c r="B296" s="7" t="s">
        <v>161</v>
      </c>
      <c r="C296" s="76" t="s">
        <v>257</v>
      </c>
      <c r="D296" s="29">
        <v>6.0</v>
      </c>
      <c r="E296" s="74"/>
      <c r="F296" s="74"/>
      <c r="G296" s="73">
        <v>40000.0</v>
      </c>
      <c r="H296" s="74"/>
      <c r="I296" s="73">
        <v>50000.0</v>
      </c>
      <c r="J296" s="74"/>
      <c r="K296" s="74"/>
      <c r="L296" s="74"/>
      <c r="P296" s="74"/>
    </row>
    <row r="297">
      <c r="A297" s="37" t="s">
        <v>160</v>
      </c>
      <c r="B297" s="7" t="s">
        <v>161</v>
      </c>
      <c r="C297" s="76" t="s">
        <v>260</v>
      </c>
      <c r="D297" s="29">
        <v>7.0</v>
      </c>
      <c r="E297" s="74"/>
      <c r="F297" s="74"/>
      <c r="G297" s="73">
        <v>40000.0</v>
      </c>
      <c r="H297" s="74"/>
      <c r="I297" s="73">
        <v>50000.0</v>
      </c>
      <c r="J297" s="74"/>
      <c r="K297" s="74"/>
      <c r="L297" s="74"/>
      <c r="P297" s="74"/>
    </row>
    <row r="298">
      <c r="A298" s="44"/>
      <c r="B298" s="46"/>
      <c r="C298" s="77"/>
      <c r="D298" s="91"/>
      <c r="E298" s="91"/>
      <c r="F298" s="91"/>
      <c r="G298" s="91"/>
      <c r="H298" s="91"/>
      <c r="I298" s="91"/>
      <c r="J298" s="91"/>
      <c r="K298" s="91"/>
      <c r="L298" s="91"/>
      <c r="M298" s="46"/>
      <c r="N298" s="46"/>
      <c r="O298" s="46"/>
      <c r="P298" s="91"/>
      <c r="Q298" s="46"/>
      <c r="R298" s="46"/>
      <c r="S298" s="46"/>
      <c r="T298" s="46"/>
      <c r="U298" s="46"/>
      <c r="V298" s="46"/>
      <c r="W298" s="46"/>
      <c r="X298" s="46"/>
      <c r="Y298" s="46"/>
      <c r="Z298" s="46"/>
      <c r="AA298" s="46"/>
      <c r="AB298" s="46"/>
      <c r="AC298" s="46"/>
      <c r="AD298" s="46"/>
      <c r="AE298" s="46"/>
      <c r="AF298" s="46"/>
      <c r="AG298" s="46"/>
      <c r="AH298" s="46"/>
      <c r="AI298" s="46"/>
      <c r="AJ298" s="46"/>
      <c r="AK298" s="46"/>
    </row>
    <row r="299">
      <c r="A299" s="37" t="s">
        <v>167</v>
      </c>
      <c r="B299" s="6" t="s">
        <v>168</v>
      </c>
      <c r="C299" s="85">
        <v>39295.0</v>
      </c>
      <c r="D299" s="29">
        <v>1.0</v>
      </c>
      <c r="E299" s="73">
        <v>15000.0</v>
      </c>
      <c r="F299" s="74"/>
      <c r="G299" s="73"/>
      <c r="H299" s="74"/>
      <c r="I299" s="74"/>
      <c r="J299" s="74"/>
      <c r="K299" s="74"/>
      <c r="L299" s="73">
        <v>1000.0</v>
      </c>
      <c r="O299" s="73"/>
      <c r="P299" s="73"/>
      <c r="R299" s="73">
        <v>2000.0</v>
      </c>
      <c r="S299" s="73">
        <v>2000.0</v>
      </c>
      <c r="X299" s="29"/>
      <c r="Y299" s="29"/>
    </row>
    <row r="300">
      <c r="A300" s="37" t="s">
        <v>167</v>
      </c>
      <c r="B300" s="6" t="s">
        <v>168</v>
      </c>
      <c r="C300" s="85">
        <v>39692.0</v>
      </c>
      <c r="D300" s="29">
        <v>2.0</v>
      </c>
      <c r="E300" s="73">
        <v>15000.0</v>
      </c>
      <c r="F300" s="74"/>
      <c r="G300" s="73"/>
      <c r="H300" s="74"/>
      <c r="I300" s="74"/>
      <c r="J300" s="74"/>
      <c r="K300" s="74"/>
      <c r="L300" s="73">
        <v>1000.0</v>
      </c>
      <c r="O300" s="73"/>
      <c r="P300" s="74"/>
      <c r="R300" s="73">
        <v>2000.0</v>
      </c>
      <c r="S300" s="73">
        <v>2000.0</v>
      </c>
      <c r="X300" s="29"/>
      <c r="Y300" s="29"/>
    </row>
    <row r="301">
      <c r="A301" s="37" t="s">
        <v>167</v>
      </c>
      <c r="B301" s="6" t="s">
        <v>168</v>
      </c>
      <c r="C301" s="86">
        <v>40087.0</v>
      </c>
      <c r="D301" s="29">
        <v>3.0</v>
      </c>
      <c r="E301" s="73">
        <v>15000.0</v>
      </c>
      <c r="F301" s="74"/>
      <c r="G301" s="73"/>
      <c r="H301" s="74"/>
      <c r="I301" s="74"/>
      <c r="J301" s="74"/>
      <c r="K301" s="74"/>
      <c r="L301" s="73">
        <v>1000.0</v>
      </c>
      <c r="N301" s="73"/>
      <c r="O301" s="73"/>
      <c r="P301" s="74"/>
      <c r="R301" s="73">
        <v>2000.0</v>
      </c>
      <c r="S301" s="73">
        <v>2000.0</v>
      </c>
      <c r="X301" s="29"/>
      <c r="Y301" s="29"/>
    </row>
    <row r="302">
      <c r="A302" s="37" t="s">
        <v>167</v>
      </c>
      <c r="B302" s="6" t="s">
        <v>168</v>
      </c>
      <c r="C302" s="86">
        <v>40483.0</v>
      </c>
      <c r="D302" s="29">
        <v>4.0</v>
      </c>
      <c r="E302" s="73">
        <v>15000.0</v>
      </c>
      <c r="F302" s="74"/>
      <c r="G302" s="73"/>
      <c r="H302" s="74"/>
      <c r="I302" s="74"/>
      <c r="J302" s="74"/>
      <c r="K302" s="74"/>
      <c r="L302" s="73">
        <v>1000.0</v>
      </c>
      <c r="N302" s="73"/>
      <c r="O302" s="73"/>
      <c r="P302" s="74"/>
      <c r="R302" s="73">
        <v>2000.0</v>
      </c>
      <c r="S302" s="73">
        <v>2000.0</v>
      </c>
      <c r="X302" s="29"/>
      <c r="Y302" s="29"/>
    </row>
    <row r="303">
      <c r="A303" s="37" t="s">
        <v>167</v>
      </c>
      <c r="B303" s="6" t="s">
        <v>168</v>
      </c>
      <c r="C303" s="86">
        <v>40878.0</v>
      </c>
      <c r="D303" s="29">
        <v>5.0</v>
      </c>
      <c r="E303" s="73">
        <v>15000.0</v>
      </c>
      <c r="F303" s="74"/>
      <c r="G303" s="73"/>
      <c r="H303" s="74"/>
      <c r="I303" s="74"/>
      <c r="J303" s="74"/>
      <c r="K303" s="74"/>
      <c r="L303" s="73">
        <v>1000.0</v>
      </c>
      <c r="N303" s="73"/>
      <c r="O303" s="73"/>
      <c r="P303" s="74"/>
      <c r="R303" s="73">
        <v>2000.0</v>
      </c>
      <c r="S303" s="73">
        <v>2000.0</v>
      </c>
      <c r="X303" s="29"/>
      <c r="Y303" s="29"/>
    </row>
    <row r="304">
      <c r="A304" s="37" t="s">
        <v>167</v>
      </c>
      <c r="B304" s="6" t="s">
        <v>168</v>
      </c>
      <c r="C304" s="76" t="s">
        <v>236</v>
      </c>
      <c r="D304" s="29">
        <v>6.0</v>
      </c>
      <c r="E304" s="73">
        <v>15000.0</v>
      </c>
      <c r="F304" s="74"/>
      <c r="G304" s="73"/>
      <c r="H304" s="74"/>
      <c r="I304" s="74"/>
      <c r="J304" s="74"/>
      <c r="K304" s="74"/>
      <c r="L304" s="73">
        <v>1000.0</v>
      </c>
      <c r="N304" s="73"/>
      <c r="O304" s="73"/>
      <c r="P304" s="74"/>
      <c r="R304" s="73">
        <v>2000.0</v>
      </c>
      <c r="S304" s="73">
        <v>2000.0</v>
      </c>
      <c r="X304" s="29"/>
      <c r="Y304" s="29"/>
    </row>
    <row r="305">
      <c r="A305" s="37" t="s">
        <v>167</v>
      </c>
      <c r="B305" s="6" t="s">
        <v>168</v>
      </c>
      <c r="C305" s="76" t="s">
        <v>237</v>
      </c>
      <c r="D305" s="29">
        <v>7.0</v>
      </c>
      <c r="E305" s="73">
        <v>15000.0</v>
      </c>
      <c r="F305" s="74"/>
      <c r="G305" s="73"/>
      <c r="H305" s="74"/>
      <c r="I305" s="74"/>
      <c r="J305" s="74"/>
      <c r="K305" s="74"/>
      <c r="L305" s="73">
        <v>1000.0</v>
      </c>
      <c r="N305" s="73"/>
      <c r="O305" s="73"/>
      <c r="P305" s="74"/>
      <c r="R305" s="73">
        <v>2000.0</v>
      </c>
      <c r="S305" s="73">
        <v>2000.0</v>
      </c>
      <c r="X305" s="29"/>
      <c r="Y305" s="29"/>
    </row>
    <row r="306">
      <c r="A306" s="37" t="s">
        <v>167</v>
      </c>
      <c r="B306" s="6" t="s">
        <v>168</v>
      </c>
      <c r="C306" s="76" t="s">
        <v>238</v>
      </c>
      <c r="D306" s="29">
        <v>8.0</v>
      </c>
      <c r="E306" s="73">
        <v>15000.0</v>
      </c>
      <c r="F306" s="74"/>
      <c r="G306" s="73"/>
      <c r="H306" s="74"/>
      <c r="I306" s="74"/>
      <c r="J306" s="74"/>
      <c r="K306" s="74"/>
      <c r="L306" s="73">
        <v>1000.0</v>
      </c>
      <c r="N306" s="73"/>
      <c r="O306" s="73"/>
      <c r="P306" s="74"/>
      <c r="R306" s="73">
        <v>2000.0</v>
      </c>
      <c r="S306" s="73">
        <v>2000.0</v>
      </c>
      <c r="X306" s="29"/>
      <c r="Y306" s="29"/>
    </row>
    <row r="307">
      <c r="A307" s="37" t="s">
        <v>167</v>
      </c>
      <c r="B307" s="6" t="s">
        <v>168</v>
      </c>
      <c r="C307" s="76" t="s">
        <v>239</v>
      </c>
      <c r="D307" s="29">
        <v>9.0</v>
      </c>
      <c r="E307" s="73">
        <v>15000.0</v>
      </c>
      <c r="F307" s="74"/>
      <c r="G307" s="73"/>
      <c r="H307" s="74"/>
      <c r="I307" s="74"/>
      <c r="J307" s="74"/>
      <c r="K307" s="74"/>
      <c r="L307" s="73">
        <v>1000.0</v>
      </c>
      <c r="N307" s="73"/>
      <c r="O307" s="73"/>
      <c r="P307" s="74"/>
      <c r="R307" s="73">
        <v>2000.0</v>
      </c>
      <c r="S307" s="73">
        <v>2000.0</v>
      </c>
      <c r="X307" s="29"/>
      <c r="Y307" s="29"/>
    </row>
    <row r="308">
      <c r="A308" s="37" t="s">
        <v>167</v>
      </c>
      <c r="B308" s="6" t="s">
        <v>168</v>
      </c>
      <c r="C308" s="76" t="s">
        <v>240</v>
      </c>
      <c r="D308" s="29">
        <v>10.0</v>
      </c>
      <c r="E308" s="73">
        <v>15000.0</v>
      </c>
      <c r="F308" s="74"/>
      <c r="G308" s="73"/>
      <c r="H308" s="74"/>
      <c r="I308" s="74"/>
      <c r="J308" s="74"/>
      <c r="K308" s="74"/>
      <c r="L308" s="73">
        <v>1000.0</v>
      </c>
      <c r="N308" s="73"/>
      <c r="O308" s="73"/>
      <c r="P308" s="74"/>
      <c r="R308" s="73">
        <v>2000.0</v>
      </c>
      <c r="S308" s="73">
        <v>2000.0</v>
      </c>
      <c r="X308" s="29"/>
      <c r="Y308" s="29"/>
    </row>
    <row r="309">
      <c r="A309" s="44"/>
      <c r="B309" s="46"/>
      <c r="C309" s="77"/>
      <c r="D309" s="91"/>
      <c r="E309" s="91"/>
      <c r="F309" s="91"/>
      <c r="G309" s="91"/>
      <c r="H309" s="91"/>
      <c r="I309" s="91"/>
      <c r="J309" s="91"/>
      <c r="K309" s="91"/>
      <c r="L309" s="91"/>
      <c r="M309" s="46"/>
      <c r="N309" s="46"/>
      <c r="O309" s="46"/>
      <c r="P309" s="91"/>
      <c r="Q309" s="46"/>
      <c r="R309" s="46"/>
      <c r="S309" s="46"/>
      <c r="T309" s="46"/>
      <c r="U309" s="46"/>
      <c r="V309" s="46"/>
      <c r="W309" s="46"/>
      <c r="X309" s="46"/>
      <c r="Y309" s="46"/>
      <c r="Z309" s="46"/>
      <c r="AA309" s="46"/>
      <c r="AB309" s="46"/>
      <c r="AC309" s="46"/>
      <c r="AD309" s="46"/>
      <c r="AE309" s="46"/>
      <c r="AF309" s="46"/>
      <c r="AG309" s="46"/>
      <c r="AH309" s="46"/>
      <c r="AI309" s="46"/>
      <c r="AJ309" s="46"/>
      <c r="AK309" s="46"/>
    </row>
    <row r="310">
      <c r="A310" s="40" t="s">
        <v>171</v>
      </c>
      <c r="B310" s="29" t="s">
        <v>172</v>
      </c>
      <c r="C310" s="29" t="s">
        <v>238</v>
      </c>
      <c r="D310" s="29">
        <v>1.0</v>
      </c>
      <c r="E310" s="73">
        <v>15000.0</v>
      </c>
      <c r="F310" s="74"/>
      <c r="G310" s="74"/>
      <c r="H310" s="74"/>
      <c r="I310" s="74"/>
      <c r="J310" s="74"/>
      <c r="K310" s="74"/>
      <c r="L310" s="74"/>
      <c r="N310" s="73"/>
      <c r="O310" s="73"/>
      <c r="P310" s="74"/>
      <c r="X310" s="29"/>
      <c r="Y310" s="29"/>
    </row>
    <row r="311">
      <c r="A311" s="40" t="s">
        <v>171</v>
      </c>
      <c r="B311" s="29" t="s">
        <v>172</v>
      </c>
      <c r="C311" s="29" t="s">
        <v>239</v>
      </c>
      <c r="D311" s="29">
        <v>2.0</v>
      </c>
      <c r="E311" s="73">
        <v>15000.0</v>
      </c>
      <c r="F311" s="74"/>
      <c r="G311" s="74"/>
      <c r="H311" s="74"/>
      <c r="I311" s="74"/>
      <c r="J311" s="74"/>
      <c r="K311" s="74"/>
      <c r="L311" s="74"/>
      <c r="N311" s="73"/>
      <c r="O311" s="73"/>
      <c r="P311" s="74"/>
      <c r="X311" s="29"/>
      <c r="Y311" s="29"/>
    </row>
    <row r="312">
      <c r="A312" s="40" t="s">
        <v>171</v>
      </c>
      <c r="B312" s="29" t="s">
        <v>172</v>
      </c>
      <c r="C312" s="100" t="s">
        <v>240</v>
      </c>
      <c r="D312" s="29">
        <v>3.0</v>
      </c>
      <c r="E312" s="73">
        <v>15000.0</v>
      </c>
      <c r="F312" s="74"/>
      <c r="G312" s="74"/>
      <c r="H312" s="74"/>
      <c r="I312" s="74"/>
      <c r="J312" s="74"/>
      <c r="K312" s="74"/>
      <c r="L312" s="74"/>
      <c r="N312" s="73"/>
      <c r="O312" s="73"/>
      <c r="P312" s="74"/>
      <c r="X312" s="29"/>
      <c r="Y312" s="29"/>
    </row>
    <row r="313">
      <c r="A313" s="40" t="s">
        <v>171</v>
      </c>
      <c r="B313" s="29" t="s">
        <v>172</v>
      </c>
      <c r="C313" s="100" t="s">
        <v>241</v>
      </c>
      <c r="D313" s="29">
        <v>4.0</v>
      </c>
      <c r="E313" s="73">
        <v>15000.0</v>
      </c>
      <c r="F313" s="74"/>
      <c r="G313" s="74"/>
      <c r="H313" s="74"/>
      <c r="I313" s="74"/>
      <c r="J313" s="74"/>
      <c r="K313" s="74"/>
      <c r="L313" s="74"/>
      <c r="N313" s="73"/>
      <c r="O313" s="73"/>
      <c r="P313" s="74"/>
      <c r="X313" s="29"/>
      <c r="Y313" s="29"/>
    </row>
    <row r="314">
      <c r="A314" s="40" t="s">
        <v>171</v>
      </c>
      <c r="B314" s="29" t="s">
        <v>172</v>
      </c>
      <c r="C314" s="100" t="s">
        <v>242</v>
      </c>
      <c r="D314" s="29">
        <v>5.0</v>
      </c>
      <c r="E314" s="73">
        <v>15000.0</v>
      </c>
      <c r="F314" s="74"/>
      <c r="G314" s="74"/>
      <c r="H314" s="74"/>
      <c r="I314" s="74"/>
      <c r="J314" s="74"/>
      <c r="K314" s="74"/>
      <c r="L314" s="74"/>
      <c r="N314" s="73"/>
      <c r="O314" s="73"/>
      <c r="P314" s="74"/>
      <c r="X314" s="29"/>
      <c r="Y314" s="29"/>
    </row>
    <row r="315">
      <c r="A315" s="44"/>
      <c r="B315" s="46"/>
      <c r="C315" s="77"/>
      <c r="D315" s="91"/>
      <c r="E315" s="91"/>
      <c r="F315" s="91"/>
      <c r="G315" s="91"/>
      <c r="H315" s="91"/>
      <c r="I315" s="91"/>
      <c r="J315" s="91"/>
      <c r="K315" s="91"/>
      <c r="L315" s="91"/>
      <c r="M315" s="46"/>
      <c r="N315" s="46"/>
      <c r="O315" s="46"/>
      <c r="P315" s="91"/>
      <c r="Q315" s="46"/>
      <c r="R315" s="46"/>
      <c r="S315" s="46"/>
      <c r="T315" s="46"/>
      <c r="U315" s="46"/>
      <c r="V315" s="46"/>
      <c r="W315" s="46"/>
      <c r="X315" s="46"/>
      <c r="Y315" s="46"/>
      <c r="Z315" s="46"/>
      <c r="AA315" s="46"/>
      <c r="AB315" s="46"/>
      <c r="AC315" s="46"/>
      <c r="AD315" s="46"/>
      <c r="AE315" s="46"/>
      <c r="AF315" s="46"/>
      <c r="AG315" s="46"/>
      <c r="AH315" s="46"/>
      <c r="AI315" s="46"/>
      <c r="AJ315" s="46"/>
      <c r="AK315" s="46"/>
    </row>
    <row r="316">
      <c r="A316" s="40" t="s">
        <v>174</v>
      </c>
      <c r="B316" s="29" t="s">
        <v>175</v>
      </c>
      <c r="C316" s="86">
        <v>40483.0</v>
      </c>
      <c r="D316" s="29">
        <v>1.0</v>
      </c>
      <c r="E316" s="73">
        <v>9000.0</v>
      </c>
      <c r="F316" s="74"/>
      <c r="G316" s="74"/>
      <c r="H316" s="74"/>
      <c r="I316" s="74"/>
      <c r="J316" s="73">
        <v>1000.0</v>
      </c>
      <c r="K316" s="73">
        <v>1000.0</v>
      </c>
      <c r="L316" s="73">
        <v>2000.0</v>
      </c>
      <c r="M316" s="73">
        <v>5000.0</v>
      </c>
      <c r="N316" s="73"/>
      <c r="O316" s="73"/>
      <c r="P316" s="74"/>
      <c r="X316" s="29"/>
      <c r="Y316" s="29"/>
    </row>
    <row r="317">
      <c r="A317" s="40" t="s">
        <v>174</v>
      </c>
      <c r="B317" s="29" t="s">
        <v>175</v>
      </c>
      <c r="C317" s="86">
        <v>40878.0</v>
      </c>
      <c r="D317" s="29">
        <v>2.0</v>
      </c>
      <c r="E317" s="73">
        <v>9000.0</v>
      </c>
      <c r="F317" s="74"/>
      <c r="G317" s="74"/>
      <c r="H317" s="74"/>
      <c r="I317" s="74"/>
      <c r="J317" s="73">
        <v>1000.0</v>
      </c>
      <c r="K317" s="73">
        <v>1000.0</v>
      </c>
      <c r="L317" s="73">
        <v>2000.0</v>
      </c>
      <c r="M317" s="73">
        <v>5000.0</v>
      </c>
      <c r="N317" s="73"/>
      <c r="O317" s="73"/>
      <c r="P317" s="74"/>
      <c r="X317" s="29"/>
      <c r="Y317" s="29"/>
    </row>
    <row r="318">
      <c r="A318" s="40" t="s">
        <v>174</v>
      </c>
      <c r="B318" s="29" t="s">
        <v>175</v>
      </c>
      <c r="C318" s="76" t="s">
        <v>236</v>
      </c>
      <c r="D318" s="29">
        <v>3.0</v>
      </c>
      <c r="E318" s="73">
        <v>9000.0</v>
      </c>
      <c r="F318" s="74"/>
      <c r="G318" s="74"/>
      <c r="H318" s="74"/>
      <c r="I318" s="74"/>
      <c r="J318" s="73">
        <v>1000.0</v>
      </c>
      <c r="K318" s="73">
        <v>1000.0</v>
      </c>
      <c r="L318" s="73">
        <v>2000.0</v>
      </c>
      <c r="M318" s="73">
        <v>5000.0</v>
      </c>
      <c r="N318" s="73"/>
      <c r="O318" s="73"/>
      <c r="P318" s="74"/>
      <c r="X318" s="29"/>
      <c r="Y318" s="29"/>
    </row>
    <row r="319">
      <c r="A319" s="40" t="s">
        <v>174</v>
      </c>
      <c r="B319" s="29" t="s">
        <v>175</v>
      </c>
      <c r="C319" s="76" t="s">
        <v>237</v>
      </c>
      <c r="D319" s="29">
        <v>4.0</v>
      </c>
      <c r="E319" s="73">
        <v>9000.0</v>
      </c>
      <c r="F319" s="74"/>
      <c r="G319" s="74"/>
      <c r="H319" s="74"/>
      <c r="I319" s="74"/>
      <c r="J319" s="73">
        <v>1000.0</v>
      </c>
      <c r="K319" s="73">
        <v>1000.0</v>
      </c>
      <c r="L319" s="73">
        <v>2000.0</v>
      </c>
      <c r="M319" s="73">
        <v>5000.0</v>
      </c>
      <c r="N319" s="73"/>
      <c r="O319" s="73"/>
      <c r="P319" s="74"/>
      <c r="X319" s="29"/>
      <c r="Y319" s="29"/>
    </row>
    <row r="320">
      <c r="A320" s="40" t="s">
        <v>174</v>
      </c>
      <c r="B320" s="29" t="s">
        <v>175</v>
      </c>
      <c r="C320" s="76" t="s">
        <v>238</v>
      </c>
      <c r="D320" s="29">
        <v>5.0</v>
      </c>
      <c r="E320" s="73">
        <v>9000.0</v>
      </c>
      <c r="F320" s="74"/>
      <c r="G320" s="74"/>
      <c r="H320" s="74"/>
      <c r="I320" s="74"/>
      <c r="J320" s="73">
        <v>1000.0</v>
      </c>
      <c r="K320" s="73">
        <v>1000.0</v>
      </c>
      <c r="L320" s="73">
        <v>2000.0</v>
      </c>
      <c r="M320" s="73">
        <v>5000.0</v>
      </c>
      <c r="P320" s="74"/>
    </row>
    <row r="321">
      <c r="A321" s="40" t="s">
        <v>174</v>
      </c>
      <c r="B321" s="29" t="s">
        <v>175</v>
      </c>
      <c r="C321" s="76" t="s">
        <v>239</v>
      </c>
      <c r="D321" s="29">
        <v>6.0</v>
      </c>
      <c r="E321" s="73">
        <v>9000.0</v>
      </c>
      <c r="F321" s="74"/>
      <c r="G321" s="74"/>
      <c r="H321" s="74"/>
      <c r="I321" s="74"/>
      <c r="J321" s="73">
        <v>1000.0</v>
      </c>
      <c r="K321" s="73">
        <v>1000.0</v>
      </c>
      <c r="L321" s="73">
        <v>2000.0</v>
      </c>
      <c r="M321" s="73">
        <v>5000.0</v>
      </c>
      <c r="P321" s="74"/>
    </row>
    <row r="322">
      <c r="A322" s="40" t="s">
        <v>174</v>
      </c>
      <c r="B322" s="29" t="s">
        <v>175</v>
      </c>
      <c r="C322" s="76" t="s">
        <v>240</v>
      </c>
      <c r="D322" s="29">
        <v>7.0</v>
      </c>
      <c r="E322" s="73">
        <v>9000.0</v>
      </c>
      <c r="F322" s="74"/>
      <c r="G322" s="74"/>
      <c r="H322" s="74"/>
      <c r="I322" s="74"/>
      <c r="J322" s="73">
        <v>1000.0</v>
      </c>
      <c r="K322" s="73">
        <v>1000.0</v>
      </c>
      <c r="L322" s="73">
        <v>2000.0</v>
      </c>
      <c r="M322" s="73">
        <v>5000.0</v>
      </c>
      <c r="P322" s="74"/>
    </row>
    <row r="323">
      <c r="A323" s="44"/>
      <c r="B323" s="46"/>
      <c r="C323" s="77"/>
      <c r="D323" s="91"/>
      <c r="E323" s="91"/>
      <c r="F323" s="91"/>
      <c r="G323" s="91"/>
      <c r="H323" s="91"/>
      <c r="I323" s="91"/>
      <c r="J323" s="91"/>
      <c r="K323" s="91"/>
      <c r="L323" s="91"/>
      <c r="M323" s="46"/>
      <c r="N323" s="46"/>
      <c r="O323" s="46"/>
      <c r="P323" s="91"/>
      <c r="Q323" s="46"/>
      <c r="R323" s="46"/>
      <c r="S323" s="46"/>
      <c r="T323" s="46"/>
      <c r="U323" s="46"/>
      <c r="V323" s="46"/>
      <c r="W323" s="46"/>
      <c r="X323" s="46"/>
      <c r="Y323" s="46"/>
      <c r="Z323" s="46"/>
      <c r="AA323" s="46"/>
      <c r="AB323" s="46"/>
      <c r="AC323" s="46"/>
      <c r="AD323" s="46"/>
      <c r="AE323" s="46"/>
      <c r="AF323" s="46"/>
      <c r="AG323" s="46"/>
      <c r="AH323" s="46"/>
      <c r="AI323" s="46"/>
      <c r="AJ323" s="46"/>
      <c r="AK323" s="46"/>
    </row>
    <row r="324">
      <c r="A324" s="75" t="s">
        <v>178</v>
      </c>
      <c r="B324" s="43" t="s">
        <v>179</v>
      </c>
      <c r="C324" s="56">
        <v>2010.0</v>
      </c>
      <c r="D324" s="29">
        <v>1.0</v>
      </c>
      <c r="E324" s="74"/>
      <c r="F324" s="74"/>
      <c r="G324" s="74"/>
      <c r="H324" s="74"/>
      <c r="I324" s="74"/>
      <c r="J324" s="74"/>
      <c r="K324" s="74"/>
      <c r="L324" s="74"/>
      <c r="N324" s="73">
        <v>35000.0</v>
      </c>
      <c r="O324" s="73">
        <v>35000.0</v>
      </c>
      <c r="P324" s="74"/>
      <c r="X324" s="95">
        <v>250000.0</v>
      </c>
    </row>
    <row r="325">
      <c r="A325" s="75" t="s">
        <v>178</v>
      </c>
      <c r="B325" s="43" t="s">
        <v>179</v>
      </c>
      <c r="C325" s="76">
        <v>2011.0</v>
      </c>
      <c r="D325" s="29">
        <v>2.0</v>
      </c>
      <c r="E325" s="74"/>
      <c r="F325" s="74"/>
      <c r="G325" s="74"/>
      <c r="H325" s="74"/>
      <c r="I325" s="74"/>
      <c r="J325" s="74"/>
      <c r="K325" s="74"/>
      <c r="L325" s="74"/>
      <c r="N325" s="73">
        <v>35000.0</v>
      </c>
      <c r="P325" s="74"/>
      <c r="X325" s="95">
        <v>250000.0</v>
      </c>
    </row>
    <row r="326">
      <c r="A326" s="75" t="s">
        <v>178</v>
      </c>
      <c r="B326" s="43" t="s">
        <v>179</v>
      </c>
      <c r="C326" s="103">
        <v>2012.0</v>
      </c>
      <c r="D326" s="29">
        <v>3.0</v>
      </c>
      <c r="E326" s="74"/>
      <c r="F326" s="74"/>
      <c r="G326" s="74"/>
      <c r="H326" s="74"/>
      <c r="I326" s="74"/>
      <c r="J326" s="74"/>
      <c r="K326" s="74"/>
      <c r="L326" s="74"/>
      <c r="N326" s="73">
        <v>35000.0</v>
      </c>
      <c r="P326" s="74"/>
      <c r="X326" s="95">
        <v>250000.0</v>
      </c>
    </row>
    <row r="327">
      <c r="A327" s="75" t="s">
        <v>178</v>
      </c>
      <c r="B327" s="43" t="s">
        <v>179</v>
      </c>
      <c r="C327" s="103">
        <v>2013.0</v>
      </c>
      <c r="D327" s="29">
        <v>4.0</v>
      </c>
      <c r="E327" s="74"/>
      <c r="F327" s="74"/>
      <c r="G327" s="74"/>
      <c r="H327" s="74"/>
      <c r="I327" s="74"/>
      <c r="J327" s="74"/>
      <c r="K327" s="74"/>
      <c r="L327" s="74"/>
      <c r="N327" s="73">
        <v>35000.0</v>
      </c>
      <c r="P327" s="74"/>
      <c r="X327" s="95">
        <v>250000.0</v>
      </c>
    </row>
    <row r="328">
      <c r="A328" s="75" t="s">
        <v>178</v>
      </c>
      <c r="B328" s="43" t="s">
        <v>179</v>
      </c>
      <c r="C328" s="103">
        <v>2014.0</v>
      </c>
      <c r="D328" s="29">
        <v>5.0</v>
      </c>
      <c r="E328" s="74"/>
      <c r="F328" s="74"/>
      <c r="G328" s="74"/>
      <c r="H328" s="74"/>
      <c r="I328" s="74"/>
      <c r="J328" s="74"/>
      <c r="K328" s="74"/>
      <c r="L328" s="74"/>
      <c r="N328" s="73">
        <v>35000.0</v>
      </c>
      <c r="P328" s="74"/>
      <c r="X328" s="95">
        <v>250000.0</v>
      </c>
    </row>
    <row r="329">
      <c r="A329" s="75" t="s">
        <v>178</v>
      </c>
      <c r="B329" s="43" t="s">
        <v>179</v>
      </c>
      <c r="C329" s="105">
        <v>2015.0</v>
      </c>
      <c r="D329" s="29">
        <v>6.0</v>
      </c>
      <c r="E329" s="74"/>
      <c r="F329" s="74"/>
      <c r="G329" s="74"/>
      <c r="H329" s="74"/>
      <c r="I329" s="74"/>
      <c r="J329" s="74"/>
      <c r="K329" s="74"/>
      <c r="L329" s="74"/>
      <c r="N329" s="73">
        <v>35000.0</v>
      </c>
      <c r="P329" s="74"/>
      <c r="X329" s="95">
        <v>250000.0</v>
      </c>
    </row>
    <row r="330">
      <c r="A330" s="75" t="s">
        <v>178</v>
      </c>
      <c r="B330" s="43" t="s">
        <v>179</v>
      </c>
      <c r="C330" s="105">
        <v>2016.0</v>
      </c>
      <c r="D330" s="29">
        <v>7.0</v>
      </c>
      <c r="E330" s="74"/>
      <c r="F330" s="74"/>
      <c r="G330" s="74"/>
      <c r="H330" s="74"/>
      <c r="I330" s="74"/>
      <c r="J330" s="74"/>
      <c r="K330" s="74"/>
      <c r="L330" s="74"/>
      <c r="N330" s="73">
        <v>35000.0</v>
      </c>
      <c r="P330" s="74"/>
      <c r="X330" s="95">
        <v>250000.0</v>
      </c>
    </row>
    <row r="331">
      <c r="A331" s="75" t="s">
        <v>178</v>
      </c>
      <c r="B331" s="43" t="s">
        <v>179</v>
      </c>
      <c r="C331" s="105">
        <v>2017.0</v>
      </c>
      <c r="D331" s="29">
        <v>8.0</v>
      </c>
      <c r="E331" s="74"/>
      <c r="F331" s="74"/>
      <c r="G331" s="74"/>
      <c r="H331" s="74"/>
      <c r="I331" s="74"/>
      <c r="J331" s="74"/>
      <c r="K331" s="74"/>
      <c r="L331" s="74"/>
      <c r="N331" s="73">
        <v>35000.0</v>
      </c>
      <c r="P331" s="74"/>
      <c r="X331" s="95">
        <v>250000.0</v>
      </c>
    </row>
    <row r="332">
      <c r="A332" s="75" t="s">
        <v>178</v>
      </c>
      <c r="B332" s="43" t="s">
        <v>179</v>
      </c>
      <c r="C332" s="103" t="s">
        <v>255</v>
      </c>
      <c r="D332" s="29">
        <v>9.0</v>
      </c>
      <c r="E332" s="74"/>
      <c r="F332" s="74"/>
      <c r="G332" s="74"/>
      <c r="H332" s="74"/>
      <c r="I332" s="74"/>
      <c r="J332" s="74"/>
      <c r="K332" s="74"/>
      <c r="L332" s="74"/>
      <c r="N332" s="73">
        <v>35000.0</v>
      </c>
      <c r="P332" s="74"/>
      <c r="X332" s="95">
        <v>250000.0</v>
      </c>
    </row>
    <row r="333">
      <c r="A333" s="75" t="s">
        <v>178</v>
      </c>
      <c r="B333" s="43" t="s">
        <v>179</v>
      </c>
      <c r="C333" s="76" t="s">
        <v>256</v>
      </c>
      <c r="D333" s="29">
        <v>10.0</v>
      </c>
      <c r="E333" s="74"/>
      <c r="F333" s="74"/>
      <c r="G333" s="74"/>
      <c r="H333" s="74"/>
      <c r="I333" s="74"/>
      <c r="J333" s="74"/>
      <c r="K333" s="74"/>
      <c r="L333" s="74"/>
      <c r="N333" s="73">
        <v>35000.0</v>
      </c>
      <c r="P333" s="74"/>
      <c r="X333" s="95">
        <v>250000.0</v>
      </c>
    </row>
    <row r="334">
      <c r="A334" s="75" t="s">
        <v>178</v>
      </c>
      <c r="B334" s="43" t="s">
        <v>179</v>
      </c>
      <c r="C334" s="76" t="s">
        <v>257</v>
      </c>
      <c r="D334" s="29">
        <v>11.0</v>
      </c>
      <c r="E334" s="74"/>
      <c r="F334" s="74"/>
      <c r="G334" s="74"/>
      <c r="H334" s="74"/>
      <c r="I334" s="74"/>
      <c r="J334" s="74"/>
      <c r="K334" s="74"/>
      <c r="L334" s="74"/>
      <c r="N334" s="73">
        <v>35000.0</v>
      </c>
      <c r="P334" s="74"/>
      <c r="X334" s="95">
        <v>250000.0</v>
      </c>
    </row>
    <row r="335">
      <c r="A335" s="44"/>
      <c r="B335" s="46"/>
      <c r="C335" s="77"/>
      <c r="D335" s="91"/>
      <c r="E335" s="91"/>
      <c r="F335" s="91"/>
      <c r="G335" s="91"/>
      <c r="H335" s="91"/>
      <c r="I335" s="91"/>
      <c r="J335" s="91"/>
      <c r="K335" s="91"/>
      <c r="L335" s="91"/>
      <c r="M335" s="46"/>
      <c r="N335" s="46"/>
      <c r="O335" s="46"/>
      <c r="P335" s="91"/>
      <c r="Q335" s="46"/>
      <c r="R335" s="46"/>
      <c r="S335" s="46"/>
      <c r="T335" s="46"/>
      <c r="U335" s="46"/>
      <c r="V335" s="46"/>
      <c r="W335" s="46"/>
      <c r="X335" s="46"/>
      <c r="Y335" s="46"/>
      <c r="Z335" s="46"/>
      <c r="AA335" s="46"/>
      <c r="AB335" s="46"/>
      <c r="AC335" s="46"/>
      <c r="AD335" s="46"/>
      <c r="AE335" s="46"/>
      <c r="AF335" s="46"/>
      <c r="AG335" s="46"/>
      <c r="AH335" s="46"/>
      <c r="AI335" s="46"/>
      <c r="AJ335" s="46"/>
      <c r="AK335" s="46"/>
    </row>
    <row r="336">
      <c r="A336" s="41" t="s">
        <v>183</v>
      </c>
      <c r="B336" s="43" t="s">
        <v>184</v>
      </c>
      <c r="C336" s="76">
        <v>2011.0</v>
      </c>
      <c r="D336" s="29">
        <v>1.0</v>
      </c>
      <c r="E336" s="73">
        <v>5000.0</v>
      </c>
      <c r="F336" s="74"/>
      <c r="G336" s="74"/>
      <c r="H336" s="74"/>
      <c r="I336" s="74"/>
      <c r="J336" s="74"/>
      <c r="K336" s="73">
        <v>1000.0</v>
      </c>
      <c r="L336" s="73">
        <v>2000.0</v>
      </c>
      <c r="M336" s="73">
        <v>10000.0</v>
      </c>
      <c r="N336" s="73">
        <v>2000.0</v>
      </c>
      <c r="P336" s="74"/>
    </row>
    <row r="337">
      <c r="A337" s="41" t="s">
        <v>183</v>
      </c>
      <c r="B337" s="43" t="s">
        <v>184</v>
      </c>
      <c r="C337" s="103">
        <v>2012.0</v>
      </c>
      <c r="D337" s="29">
        <v>2.0</v>
      </c>
      <c r="E337" s="73">
        <v>5000.0</v>
      </c>
      <c r="F337" s="74"/>
      <c r="G337" s="74"/>
      <c r="H337" s="74"/>
      <c r="I337" s="74"/>
      <c r="J337" s="74"/>
      <c r="K337" s="73">
        <v>1000.0</v>
      </c>
      <c r="L337" s="73">
        <v>2000.0</v>
      </c>
      <c r="M337" s="73">
        <v>10000.0</v>
      </c>
      <c r="N337" s="73">
        <v>2000.0</v>
      </c>
      <c r="P337" s="74"/>
    </row>
    <row r="338">
      <c r="A338" s="41" t="s">
        <v>183</v>
      </c>
      <c r="B338" s="43" t="s">
        <v>184</v>
      </c>
      <c r="C338" s="103">
        <v>2013.0</v>
      </c>
      <c r="D338" s="29">
        <v>3.0</v>
      </c>
      <c r="E338" s="73">
        <v>5000.0</v>
      </c>
      <c r="F338" s="74"/>
      <c r="G338" s="74"/>
      <c r="H338" s="74"/>
      <c r="I338" s="74"/>
      <c r="J338" s="74"/>
      <c r="K338" s="73">
        <v>1000.0</v>
      </c>
      <c r="L338" s="73">
        <v>2000.0</v>
      </c>
      <c r="M338" s="73">
        <v>10000.0</v>
      </c>
      <c r="N338" s="73">
        <v>2000.0</v>
      </c>
      <c r="P338" s="74"/>
    </row>
    <row r="339">
      <c r="A339" s="41" t="s">
        <v>183</v>
      </c>
      <c r="B339" s="43" t="s">
        <v>184</v>
      </c>
      <c r="C339" s="103">
        <v>2014.0</v>
      </c>
      <c r="D339" s="29">
        <v>4.0</v>
      </c>
      <c r="E339" s="73">
        <v>5000.0</v>
      </c>
      <c r="F339" s="74"/>
      <c r="G339" s="74"/>
      <c r="H339" s="74"/>
      <c r="I339" s="74"/>
      <c r="J339" s="74"/>
      <c r="K339" s="73">
        <v>1000.0</v>
      </c>
      <c r="L339" s="73">
        <v>2000.0</v>
      </c>
      <c r="M339" s="73">
        <v>10000.0</v>
      </c>
      <c r="N339" s="73">
        <v>2000.0</v>
      </c>
      <c r="P339" s="74"/>
    </row>
    <row r="340">
      <c r="A340" s="41" t="s">
        <v>183</v>
      </c>
      <c r="B340" s="43" t="s">
        <v>184</v>
      </c>
      <c r="C340" s="105">
        <v>2015.0</v>
      </c>
      <c r="D340" s="29">
        <v>5.0</v>
      </c>
      <c r="E340" s="73">
        <v>5000.0</v>
      </c>
      <c r="F340" s="74"/>
      <c r="G340" s="74"/>
      <c r="H340" s="74"/>
      <c r="I340" s="74"/>
      <c r="J340" s="74"/>
      <c r="K340" s="73">
        <v>1000.0</v>
      </c>
      <c r="L340" s="73">
        <v>2000.0</v>
      </c>
      <c r="M340" s="73">
        <v>10000.0</v>
      </c>
      <c r="N340" s="73">
        <v>2000.0</v>
      </c>
      <c r="P340" s="74"/>
    </row>
    <row r="341">
      <c r="A341" s="41" t="s">
        <v>183</v>
      </c>
      <c r="B341" s="43" t="s">
        <v>184</v>
      </c>
      <c r="C341" s="105">
        <v>2016.0</v>
      </c>
      <c r="D341" s="29">
        <v>6.0</v>
      </c>
      <c r="E341" s="73">
        <v>5000.0</v>
      </c>
      <c r="F341" s="74"/>
      <c r="G341" s="74"/>
      <c r="H341" s="74"/>
      <c r="I341" s="74"/>
      <c r="J341" s="74"/>
      <c r="K341" s="73">
        <v>1000.0</v>
      </c>
      <c r="L341" s="73">
        <v>2000.0</v>
      </c>
      <c r="M341" s="73">
        <v>10000.0</v>
      </c>
      <c r="N341" s="73">
        <v>2000.0</v>
      </c>
      <c r="P341" s="74"/>
    </row>
    <row r="342">
      <c r="A342" s="41" t="s">
        <v>183</v>
      </c>
      <c r="B342" s="43" t="s">
        <v>184</v>
      </c>
      <c r="C342" s="105">
        <v>2017.0</v>
      </c>
      <c r="D342" s="29">
        <v>7.0</v>
      </c>
      <c r="E342" s="73">
        <v>5000.0</v>
      </c>
      <c r="F342" s="74"/>
      <c r="G342" s="74"/>
      <c r="H342" s="74"/>
      <c r="I342" s="74"/>
      <c r="J342" s="74"/>
      <c r="K342" s="73">
        <v>1000.0</v>
      </c>
      <c r="L342" s="73">
        <v>2000.0</v>
      </c>
      <c r="M342" s="73">
        <v>10000.0</v>
      </c>
      <c r="N342" s="73">
        <v>2000.0</v>
      </c>
      <c r="P342" s="74"/>
    </row>
    <row r="343">
      <c r="A343" s="44"/>
      <c r="B343" s="46"/>
      <c r="C343" s="77"/>
      <c r="D343" s="91"/>
      <c r="E343" s="91"/>
      <c r="F343" s="91"/>
      <c r="G343" s="91"/>
      <c r="H343" s="91"/>
      <c r="I343" s="91"/>
      <c r="J343" s="91"/>
      <c r="K343" s="91"/>
      <c r="L343" s="91"/>
      <c r="M343" s="46"/>
      <c r="N343" s="46"/>
      <c r="O343" s="46"/>
      <c r="P343" s="91"/>
      <c r="Q343" s="46"/>
      <c r="R343" s="46"/>
      <c r="S343" s="46"/>
      <c r="T343" s="46"/>
      <c r="U343" s="46"/>
      <c r="V343" s="46"/>
      <c r="W343" s="46"/>
      <c r="X343" s="46"/>
      <c r="Y343" s="46"/>
      <c r="Z343" s="46"/>
      <c r="AA343" s="46"/>
      <c r="AB343" s="46"/>
      <c r="AC343" s="46"/>
      <c r="AD343" s="46"/>
      <c r="AE343" s="46"/>
      <c r="AF343" s="46"/>
      <c r="AG343" s="46"/>
      <c r="AH343" s="46"/>
      <c r="AI343" s="46"/>
      <c r="AJ343" s="46"/>
      <c r="AK343" s="46"/>
    </row>
    <row r="344">
      <c r="A344" s="41" t="s">
        <v>186</v>
      </c>
      <c r="B344" s="42" t="s">
        <v>187</v>
      </c>
      <c r="C344" s="76" t="s">
        <v>236</v>
      </c>
      <c r="D344" s="29">
        <v>1.0</v>
      </c>
      <c r="E344" s="73">
        <v>10000.0</v>
      </c>
      <c r="F344" s="74"/>
      <c r="G344" s="74"/>
      <c r="H344" s="74"/>
      <c r="I344" s="74"/>
      <c r="J344" s="74"/>
      <c r="K344" s="74"/>
      <c r="L344" s="74"/>
      <c r="O344" s="73">
        <v>7500.0</v>
      </c>
      <c r="P344" s="74"/>
    </row>
    <row r="345">
      <c r="A345" s="41" t="s">
        <v>186</v>
      </c>
      <c r="B345" s="42" t="s">
        <v>187</v>
      </c>
      <c r="C345" s="76" t="s">
        <v>237</v>
      </c>
      <c r="D345" s="29">
        <v>2.0</v>
      </c>
      <c r="E345" s="73">
        <v>10000.0</v>
      </c>
      <c r="F345" s="74"/>
      <c r="G345" s="74"/>
      <c r="H345" s="74"/>
      <c r="I345" s="74"/>
      <c r="J345" s="74"/>
      <c r="K345" s="74"/>
      <c r="L345" s="74"/>
      <c r="O345" s="73">
        <v>7500.0</v>
      </c>
      <c r="P345" s="74"/>
    </row>
    <row r="346">
      <c r="A346" s="41" t="s">
        <v>186</v>
      </c>
      <c r="B346" s="42" t="s">
        <v>187</v>
      </c>
      <c r="C346" s="76" t="s">
        <v>238</v>
      </c>
      <c r="D346" s="29">
        <v>3.0</v>
      </c>
      <c r="E346" s="73">
        <v>10000.0</v>
      </c>
      <c r="F346" s="74"/>
      <c r="G346" s="74"/>
      <c r="H346" s="74"/>
      <c r="I346" s="74"/>
      <c r="J346" s="74"/>
      <c r="K346" s="74"/>
      <c r="L346" s="74"/>
      <c r="O346" s="73">
        <v>7500.0</v>
      </c>
      <c r="P346" s="74"/>
    </row>
    <row r="347">
      <c r="A347" s="41" t="s">
        <v>186</v>
      </c>
      <c r="B347" s="42" t="s">
        <v>187</v>
      </c>
      <c r="C347" s="76" t="s">
        <v>239</v>
      </c>
      <c r="D347" s="29">
        <v>4.0</v>
      </c>
      <c r="E347" s="73">
        <v>10000.0</v>
      </c>
      <c r="F347" s="74"/>
      <c r="G347" s="74"/>
      <c r="H347" s="74"/>
      <c r="I347" s="74"/>
      <c r="J347" s="74"/>
      <c r="K347" s="74"/>
      <c r="L347" s="74"/>
      <c r="O347" s="73">
        <v>7500.0</v>
      </c>
      <c r="P347" s="74"/>
    </row>
    <row r="348">
      <c r="A348" s="41" t="s">
        <v>186</v>
      </c>
      <c r="B348" s="42" t="s">
        <v>187</v>
      </c>
      <c r="C348" s="76" t="s">
        <v>240</v>
      </c>
      <c r="D348" s="29">
        <v>5.0</v>
      </c>
      <c r="E348" s="73">
        <v>10000.0</v>
      </c>
      <c r="F348" s="74"/>
      <c r="G348" s="74"/>
      <c r="H348" s="74"/>
      <c r="I348" s="74"/>
      <c r="J348" s="74"/>
      <c r="K348" s="74"/>
      <c r="L348" s="74"/>
      <c r="O348" s="73">
        <v>7500.0</v>
      </c>
      <c r="P348" s="74"/>
    </row>
    <row r="349">
      <c r="A349" s="106"/>
      <c r="B349" s="106"/>
      <c r="C349" s="107"/>
      <c r="D349" s="108"/>
      <c r="E349" s="108"/>
      <c r="F349" s="108"/>
      <c r="G349" s="108"/>
      <c r="H349" s="108"/>
      <c r="I349" s="108"/>
      <c r="J349" s="108"/>
      <c r="K349" s="108"/>
      <c r="L349" s="108"/>
      <c r="M349" s="108"/>
      <c r="N349" s="107"/>
      <c r="O349" s="107"/>
      <c r="P349" s="108"/>
      <c r="Q349" s="108"/>
      <c r="R349" s="107"/>
      <c r="S349" s="107"/>
      <c r="T349" s="107"/>
      <c r="U349" s="107"/>
      <c r="V349" s="107"/>
      <c r="W349" s="107"/>
      <c r="X349" s="107"/>
      <c r="Y349" s="107"/>
      <c r="Z349" s="107"/>
      <c r="AA349" s="107"/>
      <c r="AB349" s="107"/>
      <c r="AC349" s="107"/>
      <c r="AD349" s="107"/>
      <c r="AE349" s="107"/>
      <c r="AF349" s="107"/>
      <c r="AG349" s="107"/>
      <c r="AH349" s="107"/>
      <c r="AI349" s="107"/>
      <c r="AJ349" s="107"/>
      <c r="AK349" s="46"/>
    </row>
    <row r="350">
      <c r="A350" s="41" t="s">
        <v>189</v>
      </c>
      <c r="B350" s="43" t="s">
        <v>190</v>
      </c>
      <c r="C350" s="85">
        <v>39295.0</v>
      </c>
      <c r="D350" s="29">
        <v>1.0</v>
      </c>
      <c r="E350" s="73">
        <v>15000.0</v>
      </c>
      <c r="F350" s="74"/>
      <c r="G350" s="74"/>
      <c r="H350" s="74"/>
      <c r="I350" s="74"/>
      <c r="J350" s="74"/>
      <c r="K350" s="73">
        <v>1000.0</v>
      </c>
      <c r="L350" s="73">
        <v>1000.0</v>
      </c>
      <c r="M350" s="73">
        <v>13000.0</v>
      </c>
      <c r="P350" s="74"/>
    </row>
    <row r="351">
      <c r="A351" s="41" t="s">
        <v>189</v>
      </c>
      <c r="B351" s="43" t="s">
        <v>190</v>
      </c>
      <c r="C351" s="85">
        <v>39692.0</v>
      </c>
      <c r="D351" s="29">
        <v>2.0</v>
      </c>
      <c r="E351" s="73">
        <v>15000.0</v>
      </c>
      <c r="F351" s="74"/>
      <c r="G351" s="74"/>
      <c r="H351" s="74"/>
      <c r="I351" s="74"/>
      <c r="J351" s="74"/>
      <c r="K351" s="73">
        <v>1000.0</v>
      </c>
      <c r="L351" s="73">
        <v>1000.0</v>
      </c>
      <c r="M351" s="73">
        <v>13000.0</v>
      </c>
      <c r="P351" s="74"/>
    </row>
    <row r="352">
      <c r="A352" s="41" t="s">
        <v>189</v>
      </c>
      <c r="B352" s="43" t="s">
        <v>190</v>
      </c>
      <c r="C352" s="86">
        <v>40087.0</v>
      </c>
      <c r="D352" s="29">
        <v>3.0</v>
      </c>
      <c r="E352" s="73">
        <v>15000.0</v>
      </c>
      <c r="F352" s="74"/>
      <c r="G352" s="74"/>
      <c r="H352" s="74"/>
      <c r="I352" s="74"/>
      <c r="J352" s="74"/>
      <c r="K352" s="73">
        <v>1000.0</v>
      </c>
      <c r="L352" s="73">
        <v>1000.0</v>
      </c>
      <c r="M352" s="73">
        <v>13000.0</v>
      </c>
      <c r="P352" s="74"/>
    </row>
    <row r="353">
      <c r="A353" s="41" t="s">
        <v>189</v>
      </c>
      <c r="B353" s="43" t="s">
        <v>190</v>
      </c>
      <c r="C353" s="86">
        <v>40483.0</v>
      </c>
      <c r="D353" s="29">
        <v>4.0</v>
      </c>
      <c r="E353" s="73">
        <v>15000.0</v>
      </c>
      <c r="F353" s="74"/>
      <c r="G353" s="74"/>
      <c r="H353" s="74"/>
      <c r="I353" s="74"/>
      <c r="J353" s="74"/>
      <c r="K353" s="73">
        <v>1000.0</v>
      </c>
      <c r="L353" s="73">
        <v>1000.0</v>
      </c>
      <c r="M353" s="73">
        <v>13000.0</v>
      </c>
      <c r="P353" s="74"/>
    </row>
    <row r="354">
      <c r="A354" s="41" t="s">
        <v>189</v>
      </c>
      <c r="B354" s="43" t="s">
        <v>190</v>
      </c>
      <c r="C354" s="86">
        <v>40878.0</v>
      </c>
      <c r="D354" s="29">
        <v>5.0</v>
      </c>
      <c r="E354" s="73">
        <v>15000.0</v>
      </c>
      <c r="F354" s="74"/>
      <c r="G354" s="74"/>
      <c r="H354" s="74"/>
      <c r="I354" s="74"/>
      <c r="J354" s="74"/>
      <c r="K354" s="73">
        <v>1000.0</v>
      </c>
      <c r="L354" s="73">
        <v>1000.0</v>
      </c>
      <c r="M354" s="73">
        <v>13000.0</v>
      </c>
      <c r="P354" s="74"/>
    </row>
    <row r="355">
      <c r="A355" s="41" t="s">
        <v>189</v>
      </c>
      <c r="B355" s="43" t="s">
        <v>190</v>
      </c>
      <c r="C355" s="76" t="s">
        <v>236</v>
      </c>
      <c r="D355" s="29">
        <v>6.0</v>
      </c>
      <c r="E355" s="73">
        <v>15000.0</v>
      </c>
      <c r="F355" s="74"/>
      <c r="G355" s="74"/>
      <c r="H355" s="74"/>
      <c r="I355" s="74"/>
      <c r="J355" s="74"/>
      <c r="K355" s="73">
        <v>1000.0</v>
      </c>
      <c r="L355" s="73">
        <v>1000.0</v>
      </c>
      <c r="M355" s="73">
        <v>13000.0</v>
      </c>
      <c r="P355" s="74"/>
    </row>
    <row r="356">
      <c r="A356" s="41" t="s">
        <v>189</v>
      </c>
      <c r="B356" s="43" t="s">
        <v>190</v>
      </c>
      <c r="C356" s="76" t="s">
        <v>237</v>
      </c>
      <c r="D356" s="29">
        <v>7.0</v>
      </c>
      <c r="E356" s="73">
        <v>15000.0</v>
      </c>
      <c r="F356" s="74"/>
      <c r="G356" s="74"/>
      <c r="H356" s="74"/>
      <c r="I356" s="74"/>
      <c r="J356" s="74"/>
      <c r="K356" s="73">
        <v>1000.0</v>
      </c>
      <c r="L356" s="73">
        <v>1000.0</v>
      </c>
      <c r="M356" s="73">
        <v>13000.0</v>
      </c>
      <c r="P356" s="74"/>
    </row>
    <row r="357">
      <c r="A357" s="41" t="s">
        <v>189</v>
      </c>
      <c r="B357" s="43" t="s">
        <v>190</v>
      </c>
      <c r="C357" s="76" t="s">
        <v>238</v>
      </c>
      <c r="D357" s="29">
        <v>8.0</v>
      </c>
      <c r="E357" s="73">
        <v>15000.0</v>
      </c>
      <c r="F357" s="74"/>
      <c r="G357" s="74"/>
      <c r="H357" s="74"/>
      <c r="I357" s="74"/>
      <c r="J357" s="74"/>
      <c r="K357" s="73">
        <v>1000.0</v>
      </c>
      <c r="L357" s="73">
        <v>1000.0</v>
      </c>
      <c r="M357" s="73">
        <v>13000.0</v>
      </c>
      <c r="P357" s="74"/>
    </row>
    <row r="358">
      <c r="A358" s="41" t="s">
        <v>189</v>
      </c>
      <c r="B358" s="43" t="s">
        <v>190</v>
      </c>
      <c r="C358" s="76" t="s">
        <v>239</v>
      </c>
      <c r="D358" s="29">
        <v>9.0</v>
      </c>
      <c r="E358" s="73">
        <v>15000.0</v>
      </c>
      <c r="F358" s="74"/>
      <c r="G358" s="74"/>
      <c r="H358" s="74"/>
      <c r="I358" s="74"/>
      <c r="J358" s="74"/>
      <c r="K358" s="73">
        <v>1000.0</v>
      </c>
      <c r="L358" s="73">
        <v>1000.0</v>
      </c>
      <c r="M358" s="73">
        <v>13000.0</v>
      </c>
      <c r="P358" s="74"/>
    </row>
    <row r="359">
      <c r="A359" s="41" t="s">
        <v>189</v>
      </c>
      <c r="B359" s="43" t="s">
        <v>190</v>
      </c>
      <c r="C359" s="76" t="s">
        <v>240</v>
      </c>
      <c r="D359" s="29">
        <v>10.0</v>
      </c>
      <c r="E359" s="73">
        <v>15000.0</v>
      </c>
      <c r="F359" s="74"/>
      <c r="G359" s="74"/>
      <c r="H359" s="74"/>
      <c r="I359" s="74"/>
      <c r="J359" s="74"/>
      <c r="K359" s="73">
        <v>1000.0</v>
      </c>
      <c r="L359" s="73">
        <v>1000.0</v>
      </c>
      <c r="M359" s="73">
        <v>13000.0</v>
      </c>
      <c r="P359" s="74"/>
    </row>
    <row r="360">
      <c r="A360" s="106"/>
      <c r="B360" s="106"/>
      <c r="C360" s="107"/>
      <c r="D360" s="108"/>
      <c r="E360" s="108"/>
      <c r="F360" s="108"/>
      <c r="G360" s="108"/>
      <c r="H360" s="108"/>
      <c r="I360" s="108"/>
      <c r="J360" s="108"/>
      <c r="K360" s="108"/>
      <c r="L360" s="108"/>
      <c r="M360" s="108"/>
      <c r="N360" s="107"/>
      <c r="O360" s="107"/>
      <c r="P360" s="108"/>
      <c r="Q360" s="108"/>
      <c r="R360" s="107"/>
      <c r="S360" s="107"/>
      <c r="T360" s="107"/>
      <c r="U360" s="107"/>
      <c r="V360" s="107"/>
      <c r="W360" s="107"/>
      <c r="X360" s="107"/>
      <c r="Y360" s="107"/>
      <c r="Z360" s="107"/>
      <c r="AA360" s="107"/>
      <c r="AB360" s="107"/>
      <c r="AC360" s="107"/>
      <c r="AD360" s="107"/>
      <c r="AE360" s="107"/>
      <c r="AF360" s="107"/>
      <c r="AG360" s="107"/>
      <c r="AH360" s="107"/>
      <c r="AI360" s="107"/>
      <c r="AJ360" s="107"/>
      <c r="AK360" s="46"/>
    </row>
    <row r="361">
      <c r="A361" s="41" t="s">
        <v>192</v>
      </c>
      <c r="B361" s="11" t="s">
        <v>193</v>
      </c>
      <c r="C361" s="85">
        <v>39692.0</v>
      </c>
      <c r="D361" s="29">
        <v>1.0</v>
      </c>
      <c r="E361" s="73">
        <v>15000.0</v>
      </c>
      <c r="F361" s="74"/>
      <c r="G361" s="74"/>
      <c r="H361" s="74"/>
      <c r="I361" s="74"/>
      <c r="J361" s="74"/>
      <c r="K361" s="74"/>
      <c r="L361" s="74"/>
      <c r="O361" s="73">
        <v>16500.0</v>
      </c>
      <c r="P361" s="74"/>
    </row>
    <row r="362">
      <c r="A362" s="41" t="s">
        <v>192</v>
      </c>
      <c r="B362" s="11" t="s">
        <v>193</v>
      </c>
      <c r="C362" s="86">
        <v>40087.0</v>
      </c>
      <c r="D362" s="29">
        <v>2.0</v>
      </c>
      <c r="E362" s="73">
        <v>10000.0</v>
      </c>
      <c r="F362" s="74"/>
      <c r="G362" s="74"/>
      <c r="H362" s="74"/>
      <c r="I362" s="74"/>
      <c r="J362" s="74"/>
      <c r="K362" s="74"/>
      <c r="L362" s="74"/>
      <c r="O362" s="73">
        <v>16500.0</v>
      </c>
      <c r="P362" s="74"/>
    </row>
    <row r="363">
      <c r="A363" s="41" t="s">
        <v>192</v>
      </c>
      <c r="B363" s="11" t="s">
        <v>193</v>
      </c>
      <c r="C363" s="86">
        <v>40483.0</v>
      </c>
      <c r="D363" s="29">
        <v>3.0</v>
      </c>
      <c r="E363" s="73">
        <v>10000.0</v>
      </c>
      <c r="F363" s="74"/>
      <c r="G363" s="74"/>
      <c r="H363" s="74"/>
      <c r="I363" s="74"/>
      <c r="J363" s="74"/>
      <c r="K363" s="74"/>
      <c r="L363" s="74"/>
      <c r="O363" s="73">
        <v>16500.0</v>
      </c>
      <c r="P363" s="74"/>
    </row>
    <row r="364">
      <c r="A364" s="41" t="s">
        <v>192</v>
      </c>
      <c r="B364" s="11" t="s">
        <v>193</v>
      </c>
      <c r="C364" s="86">
        <v>40878.0</v>
      </c>
      <c r="D364" s="29">
        <v>4.0</v>
      </c>
      <c r="E364" s="73">
        <v>10000.0</v>
      </c>
      <c r="F364" s="74"/>
      <c r="G364" s="74"/>
      <c r="H364" s="74"/>
      <c r="I364" s="74"/>
      <c r="J364" s="74"/>
      <c r="K364" s="74"/>
      <c r="L364" s="74"/>
      <c r="O364" s="73">
        <v>16500.0</v>
      </c>
      <c r="P364" s="74"/>
    </row>
    <row r="365">
      <c r="A365" s="41" t="s">
        <v>192</v>
      </c>
      <c r="B365" s="11" t="s">
        <v>193</v>
      </c>
      <c r="C365" s="76" t="s">
        <v>236</v>
      </c>
      <c r="D365" s="29">
        <v>5.0</v>
      </c>
      <c r="E365" s="73">
        <v>10000.0</v>
      </c>
      <c r="F365" s="74"/>
      <c r="G365" s="74"/>
      <c r="H365" s="74"/>
      <c r="I365" s="74"/>
      <c r="J365" s="74"/>
      <c r="K365" s="74"/>
      <c r="L365" s="74"/>
      <c r="O365" s="73">
        <v>16500.0</v>
      </c>
      <c r="P365" s="74"/>
    </row>
    <row r="366">
      <c r="A366" s="41" t="s">
        <v>192</v>
      </c>
      <c r="B366" s="11" t="s">
        <v>193</v>
      </c>
      <c r="C366" s="76" t="s">
        <v>237</v>
      </c>
      <c r="D366" s="29">
        <v>6.0</v>
      </c>
      <c r="E366" s="73">
        <v>10000.0</v>
      </c>
      <c r="F366" s="74"/>
      <c r="G366" s="74"/>
      <c r="H366" s="74"/>
      <c r="I366" s="74"/>
      <c r="J366" s="74"/>
      <c r="K366" s="74"/>
      <c r="L366" s="74"/>
      <c r="O366" s="73">
        <v>16500.0</v>
      </c>
      <c r="P366" s="74"/>
    </row>
    <row r="367">
      <c r="A367" s="41" t="s">
        <v>192</v>
      </c>
      <c r="B367" s="11" t="s">
        <v>193</v>
      </c>
      <c r="C367" s="76" t="s">
        <v>238</v>
      </c>
      <c r="D367" s="29">
        <v>7.0</v>
      </c>
      <c r="E367" s="73">
        <v>10000.0</v>
      </c>
      <c r="F367" s="74"/>
      <c r="G367" s="74"/>
      <c r="H367" s="74"/>
      <c r="I367" s="74"/>
      <c r="J367" s="74"/>
      <c r="K367" s="74"/>
      <c r="L367" s="74"/>
      <c r="O367" s="73">
        <v>16500.0</v>
      </c>
      <c r="P367" s="74"/>
    </row>
    <row r="368">
      <c r="A368" s="41" t="s">
        <v>192</v>
      </c>
      <c r="B368" s="11" t="s">
        <v>193</v>
      </c>
      <c r="C368" s="76" t="s">
        <v>239</v>
      </c>
      <c r="D368" s="29">
        <v>8.0</v>
      </c>
      <c r="E368" s="73">
        <v>10000.0</v>
      </c>
      <c r="F368" s="74"/>
      <c r="G368" s="74"/>
      <c r="H368" s="74"/>
      <c r="I368" s="74"/>
      <c r="J368" s="74"/>
      <c r="K368" s="74"/>
      <c r="L368" s="74"/>
      <c r="O368" s="73">
        <v>16500.0</v>
      </c>
      <c r="P368" s="74"/>
    </row>
    <row r="369">
      <c r="A369" s="41" t="s">
        <v>192</v>
      </c>
      <c r="B369" s="11" t="s">
        <v>193</v>
      </c>
      <c r="C369" s="76" t="s">
        <v>240</v>
      </c>
      <c r="D369" s="29">
        <v>9.0</v>
      </c>
      <c r="E369" s="73">
        <v>10000.0</v>
      </c>
      <c r="F369" s="74"/>
      <c r="G369" s="74"/>
      <c r="H369" s="74"/>
      <c r="I369" s="74"/>
      <c r="J369" s="74"/>
      <c r="K369" s="74"/>
      <c r="L369" s="74"/>
      <c r="O369" s="73">
        <v>16500.0</v>
      </c>
      <c r="P369" s="74"/>
    </row>
    <row r="370">
      <c r="A370" s="41" t="s">
        <v>192</v>
      </c>
      <c r="B370" s="11" t="s">
        <v>193</v>
      </c>
      <c r="C370" s="100" t="s">
        <v>241</v>
      </c>
      <c r="D370" s="29">
        <v>10.0</v>
      </c>
      <c r="E370" s="73">
        <v>10000.0</v>
      </c>
      <c r="F370" s="74"/>
      <c r="G370" s="74"/>
      <c r="H370" s="74"/>
      <c r="I370" s="74"/>
      <c r="J370" s="74"/>
      <c r="K370" s="74"/>
      <c r="L370" s="74"/>
      <c r="O370" s="73">
        <v>16500.0</v>
      </c>
      <c r="P370" s="74"/>
    </row>
    <row r="371">
      <c r="A371" s="106"/>
      <c r="B371" s="106"/>
      <c r="C371" s="107"/>
      <c r="D371" s="108"/>
      <c r="E371" s="108"/>
      <c r="F371" s="108"/>
      <c r="G371" s="108"/>
      <c r="H371" s="108"/>
      <c r="I371" s="108"/>
      <c r="J371" s="108"/>
      <c r="K371" s="108"/>
      <c r="L371" s="108"/>
      <c r="M371" s="108"/>
      <c r="N371" s="107"/>
      <c r="O371" s="107"/>
      <c r="P371" s="108"/>
      <c r="Q371" s="108"/>
      <c r="R371" s="107"/>
      <c r="S371" s="107"/>
      <c r="T371" s="107"/>
      <c r="U371" s="107"/>
      <c r="V371" s="107"/>
      <c r="W371" s="107"/>
      <c r="X371" s="107"/>
      <c r="Y371" s="107"/>
      <c r="Z371" s="107"/>
      <c r="AA371" s="107"/>
      <c r="AB371" s="107"/>
      <c r="AC371" s="107"/>
      <c r="AD371" s="107"/>
      <c r="AE371" s="107"/>
      <c r="AF371" s="107"/>
      <c r="AG371" s="107"/>
      <c r="AH371" s="107"/>
      <c r="AI371" s="107"/>
      <c r="AJ371" s="107"/>
      <c r="AK371" s="46"/>
    </row>
    <row r="372">
      <c r="A372" s="41" t="s">
        <v>195</v>
      </c>
      <c r="B372" s="27" t="s">
        <v>196</v>
      </c>
      <c r="C372" s="103">
        <v>2012.0</v>
      </c>
      <c r="D372" s="29">
        <v>1.0</v>
      </c>
      <c r="E372" s="73"/>
      <c r="F372" s="74"/>
      <c r="G372" s="74"/>
      <c r="H372" s="74"/>
      <c r="I372" s="74"/>
      <c r="J372" s="74"/>
      <c r="K372" s="73"/>
      <c r="L372" s="73"/>
      <c r="M372" s="73"/>
      <c r="N372" s="109"/>
      <c r="O372" s="64">
        <v>35000.0</v>
      </c>
      <c r="P372" s="74"/>
    </row>
    <row r="373">
      <c r="A373" s="41" t="s">
        <v>195</v>
      </c>
      <c r="B373" s="27" t="s">
        <v>196</v>
      </c>
      <c r="C373" s="103">
        <v>2013.0</v>
      </c>
      <c r="D373" s="29">
        <v>2.0</v>
      </c>
      <c r="E373" s="73"/>
      <c r="F373" s="74"/>
      <c r="G373" s="74"/>
      <c r="H373" s="74"/>
      <c r="I373" s="74"/>
      <c r="J373" s="74"/>
      <c r="K373" s="73"/>
      <c r="L373" s="73"/>
      <c r="M373" s="73"/>
      <c r="P373" s="74"/>
    </row>
    <row r="374">
      <c r="A374" s="41" t="s">
        <v>195</v>
      </c>
      <c r="B374" s="27" t="s">
        <v>196</v>
      </c>
      <c r="C374" s="103">
        <v>2014.0</v>
      </c>
      <c r="D374" s="29">
        <v>3.0</v>
      </c>
      <c r="E374" s="73"/>
      <c r="F374" s="74"/>
      <c r="G374" s="74"/>
      <c r="H374" s="74"/>
      <c r="I374" s="74"/>
      <c r="J374" s="74"/>
      <c r="K374" s="73"/>
      <c r="L374" s="73"/>
      <c r="M374" s="73"/>
      <c r="P374" s="74"/>
    </row>
    <row r="375">
      <c r="A375" s="41" t="s">
        <v>195</v>
      </c>
      <c r="B375" s="27" t="s">
        <v>196</v>
      </c>
      <c r="C375" s="105">
        <v>2015.0</v>
      </c>
      <c r="D375" s="29">
        <v>4.0</v>
      </c>
      <c r="E375" s="73"/>
      <c r="F375" s="74"/>
      <c r="G375" s="74"/>
      <c r="H375" s="74"/>
      <c r="I375" s="74"/>
      <c r="J375" s="74"/>
      <c r="K375" s="73"/>
      <c r="L375" s="73"/>
      <c r="M375" s="73"/>
      <c r="P375" s="74"/>
    </row>
    <row r="376">
      <c r="A376" s="41" t="s">
        <v>195</v>
      </c>
      <c r="B376" s="27" t="s">
        <v>196</v>
      </c>
      <c r="C376" s="105">
        <v>2016.0</v>
      </c>
      <c r="D376" s="29">
        <v>5.0</v>
      </c>
      <c r="E376" s="73"/>
      <c r="F376" s="74"/>
      <c r="G376" s="74"/>
      <c r="H376" s="74"/>
      <c r="I376" s="74"/>
      <c r="J376" s="74"/>
      <c r="K376" s="73"/>
      <c r="L376" s="73"/>
      <c r="M376" s="73"/>
      <c r="P376" s="74"/>
    </row>
    <row r="377">
      <c r="A377" s="41" t="s">
        <v>195</v>
      </c>
      <c r="B377" s="27" t="s">
        <v>196</v>
      </c>
      <c r="C377" s="105">
        <v>2017.0</v>
      </c>
      <c r="D377" s="29">
        <v>6.0</v>
      </c>
      <c r="E377" s="73"/>
      <c r="F377" s="63"/>
      <c r="H377" s="74"/>
      <c r="I377" s="74"/>
      <c r="J377" s="74"/>
      <c r="K377" s="73"/>
      <c r="L377" s="73"/>
      <c r="M377" s="73"/>
      <c r="P377" s="74"/>
    </row>
    <row r="378">
      <c r="A378" s="41" t="s">
        <v>195</v>
      </c>
      <c r="B378" s="27" t="s">
        <v>196</v>
      </c>
      <c r="C378" s="103" t="s">
        <v>255</v>
      </c>
      <c r="D378" s="29">
        <v>7.0</v>
      </c>
      <c r="E378" s="73"/>
      <c r="F378" s="74"/>
      <c r="G378" s="74"/>
      <c r="H378" s="74"/>
      <c r="I378" s="74"/>
      <c r="J378" s="74"/>
      <c r="K378" s="73"/>
      <c r="L378" s="73"/>
      <c r="M378" s="73"/>
      <c r="P378" s="74"/>
    </row>
    <row r="379">
      <c r="A379" s="106"/>
      <c r="B379" s="106"/>
      <c r="C379" s="107"/>
      <c r="D379" s="108"/>
      <c r="E379" s="108"/>
      <c r="F379" s="108"/>
      <c r="G379" s="108"/>
      <c r="H379" s="108"/>
      <c r="I379" s="108"/>
      <c r="J379" s="108"/>
      <c r="K379" s="108"/>
      <c r="L379" s="108"/>
      <c r="M379" s="108"/>
      <c r="N379" s="107"/>
      <c r="O379" s="107"/>
      <c r="P379" s="108"/>
      <c r="Q379" s="108"/>
      <c r="R379" s="107"/>
      <c r="S379" s="107"/>
      <c r="T379" s="107"/>
      <c r="U379" s="107"/>
      <c r="V379" s="107"/>
      <c r="W379" s="107"/>
      <c r="X379" s="107"/>
      <c r="Y379" s="107"/>
      <c r="Z379" s="107"/>
      <c r="AA379" s="107"/>
      <c r="AB379" s="107"/>
      <c r="AC379" s="107"/>
      <c r="AD379" s="107"/>
      <c r="AE379" s="107"/>
      <c r="AF379" s="107"/>
      <c r="AG379" s="107"/>
      <c r="AH379" s="107"/>
      <c r="AI379" s="107"/>
      <c r="AJ379" s="107"/>
      <c r="AK379" s="46"/>
    </row>
    <row r="380">
      <c r="A380" s="41" t="s">
        <v>198</v>
      </c>
      <c r="B380" s="11" t="s">
        <v>199</v>
      </c>
      <c r="C380" s="76" t="s">
        <v>239</v>
      </c>
      <c r="D380" s="29">
        <v>1.0</v>
      </c>
      <c r="E380" s="73"/>
      <c r="F380" s="74"/>
      <c r="G380" s="74"/>
      <c r="H380" s="74"/>
      <c r="I380" s="73">
        <v>10000.0</v>
      </c>
      <c r="J380" s="74"/>
      <c r="K380" s="73"/>
      <c r="L380" s="73"/>
      <c r="M380" s="73"/>
      <c r="P380" s="74"/>
    </row>
    <row r="381">
      <c r="A381" s="41" t="s">
        <v>198</v>
      </c>
      <c r="B381" s="11" t="s">
        <v>199</v>
      </c>
      <c r="C381" s="76" t="s">
        <v>240</v>
      </c>
      <c r="D381" s="29">
        <v>2.0</v>
      </c>
      <c r="E381" s="73"/>
      <c r="F381" s="74"/>
      <c r="G381" s="74"/>
      <c r="H381" s="74"/>
      <c r="I381" s="73">
        <v>10000.0</v>
      </c>
      <c r="J381" s="74"/>
      <c r="K381" s="73"/>
      <c r="L381" s="73"/>
      <c r="M381" s="73"/>
      <c r="P381" s="74"/>
    </row>
    <row r="382">
      <c r="A382" s="41" t="s">
        <v>198</v>
      </c>
      <c r="B382" s="11" t="s">
        <v>199</v>
      </c>
      <c r="C382" s="100" t="s">
        <v>241</v>
      </c>
      <c r="D382" s="29">
        <v>3.0</v>
      </c>
      <c r="E382" s="73"/>
      <c r="F382" s="74"/>
      <c r="G382" s="74"/>
      <c r="H382" s="74"/>
      <c r="I382" s="73">
        <v>10000.0</v>
      </c>
      <c r="J382" s="74"/>
      <c r="K382" s="73"/>
      <c r="L382" s="73"/>
      <c r="M382" s="73"/>
      <c r="P382" s="74"/>
    </row>
    <row r="383">
      <c r="A383" s="41" t="s">
        <v>198</v>
      </c>
      <c r="B383" s="11" t="s">
        <v>199</v>
      </c>
      <c r="C383" s="100" t="s">
        <v>242</v>
      </c>
      <c r="D383" s="29">
        <v>4.0</v>
      </c>
      <c r="E383" s="73"/>
      <c r="F383" s="74"/>
      <c r="G383" s="74"/>
      <c r="H383" s="74"/>
      <c r="I383" s="73">
        <v>10000.0</v>
      </c>
      <c r="J383" s="74"/>
      <c r="K383" s="73"/>
      <c r="L383" s="73"/>
      <c r="M383" s="73"/>
      <c r="P383" s="74"/>
    </row>
    <row r="384">
      <c r="A384" s="41" t="s">
        <v>198</v>
      </c>
      <c r="B384" s="11" t="s">
        <v>199</v>
      </c>
      <c r="C384" s="103" t="s">
        <v>243</v>
      </c>
      <c r="D384" s="29">
        <v>5.0</v>
      </c>
      <c r="E384" s="73"/>
      <c r="F384" s="74"/>
      <c r="G384" s="74"/>
      <c r="H384" s="74"/>
      <c r="I384" s="73">
        <v>10000.0</v>
      </c>
      <c r="J384" s="74"/>
      <c r="K384" s="73"/>
      <c r="L384" s="73"/>
      <c r="M384" s="73"/>
      <c r="P384" s="74"/>
    </row>
    <row r="385">
      <c r="A385" s="110"/>
      <c r="B385" s="63"/>
      <c r="C385" s="103"/>
      <c r="D385" s="29"/>
      <c r="E385" s="73"/>
      <c r="F385" s="74"/>
      <c r="G385" s="74"/>
      <c r="H385" s="74"/>
      <c r="I385" s="74"/>
      <c r="J385" s="74"/>
      <c r="K385" s="73"/>
      <c r="L385" s="73"/>
      <c r="M385" s="73"/>
      <c r="P385" s="74"/>
    </row>
    <row r="386">
      <c r="A386" s="110"/>
      <c r="B386" s="63"/>
      <c r="C386" s="79"/>
      <c r="D386" s="36"/>
      <c r="E386" s="74"/>
      <c r="F386" s="74"/>
      <c r="G386" s="74"/>
      <c r="H386" s="74"/>
      <c r="I386" s="74"/>
      <c r="J386" s="74"/>
      <c r="K386" s="74"/>
      <c r="L386" s="74"/>
      <c r="P386" s="74"/>
    </row>
    <row r="387">
      <c r="A387" s="48"/>
      <c r="C387" s="79"/>
      <c r="D387" s="36"/>
      <c r="E387" s="74"/>
      <c r="F387" s="74"/>
      <c r="G387" s="74"/>
      <c r="H387" s="74"/>
      <c r="I387" s="74"/>
      <c r="J387" s="74"/>
      <c r="K387" s="74"/>
      <c r="L387" s="74"/>
      <c r="P387" s="74"/>
    </row>
    <row r="388">
      <c r="A388" s="48"/>
      <c r="C388" s="79"/>
      <c r="D388" s="36"/>
      <c r="E388" s="74"/>
      <c r="F388" s="74"/>
      <c r="G388" s="74"/>
      <c r="H388" s="74"/>
      <c r="I388" s="74"/>
      <c r="J388" s="74"/>
      <c r="K388" s="74"/>
      <c r="L388" s="74"/>
      <c r="P388" s="74"/>
    </row>
    <row r="389">
      <c r="A389" s="48"/>
      <c r="C389" s="79"/>
      <c r="D389" s="36"/>
      <c r="E389" s="74"/>
      <c r="F389" s="74"/>
      <c r="G389" s="74"/>
      <c r="H389" s="74"/>
      <c r="I389" s="74"/>
      <c r="J389" s="74"/>
      <c r="K389" s="74"/>
      <c r="L389" s="74"/>
      <c r="P389" s="74"/>
    </row>
    <row r="390">
      <c r="A390" s="48"/>
      <c r="C390" s="79"/>
      <c r="D390" s="36"/>
      <c r="E390" s="74"/>
      <c r="F390" s="74"/>
      <c r="G390" s="74"/>
      <c r="H390" s="74"/>
      <c r="I390" s="74"/>
      <c r="J390" s="74"/>
      <c r="K390" s="74"/>
      <c r="L390" s="74"/>
      <c r="P390" s="74"/>
    </row>
    <row r="391">
      <c r="A391" s="48"/>
      <c r="C391" s="79"/>
      <c r="D391" s="36"/>
      <c r="E391" s="74"/>
      <c r="F391" s="74"/>
      <c r="G391" s="74"/>
      <c r="H391" s="74"/>
      <c r="I391" s="74"/>
      <c r="J391" s="74"/>
      <c r="K391" s="74"/>
      <c r="L391" s="74"/>
      <c r="P391" s="74"/>
    </row>
    <row r="392">
      <c r="A392" s="48"/>
      <c r="C392" s="79"/>
      <c r="D392" s="36"/>
      <c r="E392" s="74"/>
      <c r="F392" s="74"/>
      <c r="G392" s="74"/>
      <c r="H392" s="74"/>
      <c r="I392" s="74"/>
      <c r="J392" s="74"/>
      <c r="K392" s="74"/>
      <c r="L392" s="74"/>
      <c r="P392" s="74"/>
    </row>
    <row r="393">
      <c r="A393" s="48"/>
      <c r="C393" s="79"/>
      <c r="D393" s="36"/>
      <c r="E393" s="74"/>
      <c r="F393" s="74"/>
      <c r="G393" s="74"/>
      <c r="H393" s="74"/>
      <c r="I393" s="74"/>
      <c r="J393" s="74"/>
      <c r="K393" s="74"/>
      <c r="L393" s="74"/>
      <c r="P393" s="74"/>
    </row>
    <row r="394">
      <c r="A394" s="48"/>
      <c r="C394" s="79"/>
      <c r="D394" s="36"/>
      <c r="E394" s="74"/>
      <c r="F394" s="74"/>
      <c r="G394" s="74"/>
      <c r="H394" s="74"/>
      <c r="I394" s="74"/>
      <c r="J394" s="74"/>
      <c r="K394" s="74"/>
      <c r="L394" s="74"/>
      <c r="P394" s="74"/>
    </row>
    <row r="395">
      <c r="A395" s="48"/>
      <c r="C395" s="79"/>
      <c r="D395" s="36"/>
      <c r="E395" s="74"/>
      <c r="F395" s="74"/>
      <c r="G395" s="74"/>
      <c r="H395" s="74"/>
      <c r="I395" s="74"/>
      <c r="J395" s="74"/>
      <c r="K395" s="74"/>
      <c r="L395" s="74"/>
      <c r="P395" s="74"/>
    </row>
    <row r="396">
      <c r="A396" s="48"/>
      <c r="C396" s="79"/>
      <c r="D396" s="36"/>
      <c r="E396" s="74"/>
      <c r="F396" s="74"/>
      <c r="G396" s="74"/>
      <c r="H396" s="74"/>
      <c r="I396" s="74"/>
      <c r="J396" s="74"/>
      <c r="K396" s="74"/>
      <c r="L396" s="74"/>
      <c r="P396" s="74"/>
    </row>
    <row r="397">
      <c r="A397" s="48"/>
      <c r="C397" s="79"/>
      <c r="D397" s="36"/>
      <c r="E397" s="74"/>
      <c r="F397" s="74"/>
      <c r="G397" s="74"/>
      <c r="H397" s="74"/>
      <c r="I397" s="74"/>
      <c r="J397" s="74"/>
      <c r="K397" s="74"/>
      <c r="L397" s="74"/>
      <c r="P397" s="74"/>
    </row>
    <row r="398">
      <c r="A398" s="48"/>
      <c r="C398" s="79"/>
      <c r="D398" s="36"/>
      <c r="E398" s="74"/>
      <c r="F398" s="74"/>
      <c r="G398" s="74"/>
      <c r="H398" s="74"/>
      <c r="I398" s="74"/>
      <c r="J398" s="74"/>
      <c r="K398" s="74"/>
      <c r="L398" s="74"/>
      <c r="P398" s="74"/>
    </row>
    <row r="399">
      <c r="A399" s="48"/>
      <c r="C399" s="79"/>
      <c r="D399" s="36"/>
      <c r="E399" s="74"/>
      <c r="F399" s="74"/>
      <c r="G399" s="74"/>
      <c r="H399" s="74"/>
      <c r="I399" s="74"/>
      <c r="J399" s="74"/>
      <c r="K399" s="74"/>
      <c r="L399" s="74"/>
      <c r="P399" s="74"/>
    </row>
    <row r="400">
      <c r="A400" s="48"/>
      <c r="C400" s="79"/>
      <c r="D400" s="36"/>
      <c r="E400" s="74"/>
      <c r="F400" s="74"/>
      <c r="G400" s="74"/>
      <c r="H400" s="74"/>
      <c r="I400" s="74"/>
      <c r="J400" s="74"/>
      <c r="K400" s="74"/>
      <c r="L400" s="74"/>
      <c r="P400" s="74"/>
    </row>
    <row r="401">
      <c r="A401" s="48"/>
      <c r="C401" s="79"/>
      <c r="D401" s="36"/>
      <c r="E401" s="74"/>
      <c r="F401" s="74"/>
      <c r="G401" s="74"/>
      <c r="H401" s="74"/>
      <c r="I401" s="74"/>
      <c r="J401" s="74"/>
      <c r="K401" s="74"/>
      <c r="L401" s="74"/>
      <c r="P401" s="74"/>
    </row>
    <row r="402">
      <c r="A402" s="48"/>
      <c r="C402" s="79"/>
      <c r="D402" s="36"/>
      <c r="E402" s="74"/>
      <c r="F402" s="74"/>
      <c r="G402" s="74"/>
      <c r="H402" s="74"/>
      <c r="I402" s="74"/>
      <c r="J402" s="74"/>
      <c r="K402" s="74"/>
      <c r="L402" s="74"/>
      <c r="P402" s="74"/>
    </row>
    <row r="403">
      <c r="A403" s="48"/>
      <c r="C403" s="79"/>
      <c r="D403" s="36"/>
      <c r="E403" s="74"/>
      <c r="F403" s="74"/>
      <c r="G403" s="74"/>
      <c r="H403" s="74"/>
      <c r="I403" s="74"/>
      <c r="J403" s="74"/>
      <c r="K403" s="74"/>
      <c r="L403" s="74"/>
      <c r="P403" s="74"/>
    </row>
    <row r="404">
      <c r="A404" s="48"/>
      <c r="C404" s="79"/>
      <c r="D404" s="36"/>
      <c r="E404" s="74"/>
      <c r="F404" s="74"/>
      <c r="G404" s="74"/>
      <c r="H404" s="74"/>
      <c r="I404" s="74"/>
      <c r="J404" s="74"/>
      <c r="K404" s="74"/>
      <c r="L404" s="74"/>
      <c r="P404" s="74"/>
    </row>
    <row r="405">
      <c r="A405" s="48"/>
      <c r="C405" s="79"/>
      <c r="D405" s="36"/>
      <c r="E405" s="74"/>
      <c r="F405" s="74"/>
      <c r="G405" s="74"/>
      <c r="H405" s="74"/>
      <c r="I405" s="74"/>
      <c r="J405" s="74"/>
      <c r="K405" s="74"/>
      <c r="L405" s="74"/>
      <c r="P405" s="74"/>
    </row>
    <row r="406">
      <c r="A406" s="48"/>
      <c r="C406" s="79"/>
      <c r="D406" s="36"/>
      <c r="E406" s="74"/>
      <c r="F406" s="74"/>
      <c r="G406" s="74"/>
      <c r="H406" s="74"/>
      <c r="I406" s="74"/>
      <c r="J406" s="74"/>
      <c r="K406" s="74"/>
      <c r="L406" s="74"/>
      <c r="P406" s="74"/>
    </row>
    <row r="407">
      <c r="A407" s="48"/>
      <c r="C407" s="79"/>
      <c r="D407" s="36"/>
      <c r="E407" s="74"/>
      <c r="F407" s="74"/>
      <c r="G407" s="74"/>
      <c r="H407" s="74"/>
      <c r="I407" s="74"/>
      <c r="J407" s="74"/>
      <c r="K407" s="74"/>
      <c r="L407" s="74"/>
      <c r="P407" s="74"/>
    </row>
    <row r="408">
      <c r="A408" s="48"/>
      <c r="C408" s="79"/>
      <c r="D408" s="36"/>
      <c r="E408" s="74"/>
      <c r="F408" s="74"/>
      <c r="G408" s="74"/>
      <c r="H408" s="74"/>
      <c r="I408" s="74"/>
      <c r="J408" s="74"/>
      <c r="K408" s="74"/>
      <c r="L408" s="74"/>
      <c r="P408" s="74"/>
    </row>
    <row r="409">
      <c r="A409" s="48"/>
      <c r="C409" s="79"/>
      <c r="D409" s="36"/>
      <c r="E409" s="74"/>
      <c r="F409" s="74"/>
      <c r="G409" s="74"/>
      <c r="H409" s="74"/>
      <c r="I409" s="74"/>
      <c r="J409" s="74"/>
      <c r="K409" s="74"/>
      <c r="L409" s="74"/>
      <c r="P409" s="74"/>
    </row>
    <row r="410">
      <c r="A410" s="48"/>
      <c r="C410" s="79"/>
      <c r="D410" s="36"/>
      <c r="E410" s="74"/>
      <c r="F410" s="74"/>
      <c r="G410" s="74"/>
      <c r="H410" s="74"/>
      <c r="I410" s="74"/>
      <c r="J410" s="74"/>
      <c r="K410" s="74"/>
      <c r="L410" s="74"/>
      <c r="P410" s="74"/>
    </row>
    <row r="411">
      <c r="A411" s="48"/>
      <c r="C411" s="79"/>
      <c r="D411" s="36"/>
      <c r="E411" s="74"/>
      <c r="F411" s="74"/>
      <c r="G411" s="74"/>
      <c r="H411" s="74"/>
      <c r="I411" s="74"/>
      <c r="J411" s="74"/>
      <c r="K411" s="74"/>
      <c r="L411" s="74"/>
      <c r="P411" s="74"/>
    </row>
    <row r="412">
      <c r="A412" s="48"/>
      <c r="C412" s="79"/>
      <c r="D412" s="36"/>
      <c r="E412" s="74"/>
      <c r="F412" s="74"/>
      <c r="G412" s="74"/>
      <c r="H412" s="74"/>
      <c r="I412" s="74"/>
      <c r="J412" s="74"/>
      <c r="K412" s="74"/>
      <c r="L412" s="74"/>
      <c r="P412" s="74"/>
    </row>
    <row r="413">
      <c r="A413" s="48"/>
      <c r="C413" s="79"/>
      <c r="D413" s="36"/>
      <c r="E413" s="74"/>
      <c r="F413" s="74"/>
      <c r="G413" s="74"/>
      <c r="H413" s="74"/>
      <c r="I413" s="74"/>
      <c r="J413" s="74"/>
      <c r="K413" s="74"/>
      <c r="L413" s="74"/>
      <c r="P413" s="74"/>
    </row>
    <row r="414">
      <c r="A414" s="48"/>
      <c r="C414" s="79"/>
      <c r="D414" s="36"/>
      <c r="E414" s="74"/>
      <c r="F414" s="74"/>
      <c r="G414" s="74"/>
      <c r="H414" s="74"/>
      <c r="I414" s="74"/>
      <c r="J414" s="74"/>
      <c r="K414" s="74"/>
      <c r="L414" s="74"/>
      <c r="P414" s="74"/>
    </row>
    <row r="415">
      <c r="A415" s="48"/>
      <c r="C415" s="79"/>
      <c r="D415" s="36"/>
      <c r="E415" s="74"/>
      <c r="F415" s="74"/>
      <c r="G415" s="74"/>
      <c r="H415" s="74"/>
      <c r="I415" s="74"/>
      <c r="J415" s="74"/>
      <c r="K415" s="74"/>
      <c r="L415" s="74"/>
      <c r="P415" s="74"/>
    </row>
    <row r="416">
      <c r="A416" s="48"/>
      <c r="C416" s="79"/>
      <c r="D416" s="36"/>
      <c r="E416" s="74"/>
      <c r="F416" s="74"/>
      <c r="G416" s="74"/>
      <c r="H416" s="74"/>
      <c r="I416" s="74"/>
      <c r="J416" s="74"/>
      <c r="K416" s="74"/>
      <c r="L416" s="74"/>
      <c r="P416" s="74"/>
    </row>
    <row r="417">
      <c r="A417" s="48"/>
      <c r="C417" s="79"/>
      <c r="D417" s="36"/>
      <c r="E417" s="74"/>
      <c r="F417" s="74"/>
      <c r="G417" s="74"/>
      <c r="H417" s="74"/>
      <c r="I417" s="74"/>
      <c r="J417" s="74"/>
      <c r="K417" s="74"/>
      <c r="L417" s="74"/>
      <c r="P417" s="74"/>
    </row>
    <row r="418">
      <c r="A418" s="48"/>
      <c r="C418" s="79"/>
      <c r="D418" s="36"/>
      <c r="E418" s="74"/>
      <c r="F418" s="74"/>
      <c r="G418" s="74"/>
      <c r="H418" s="74"/>
      <c r="I418" s="74"/>
      <c r="J418" s="74"/>
      <c r="K418" s="74"/>
      <c r="L418" s="74"/>
      <c r="P418" s="74"/>
    </row>
    <row r="419">
      <c r="A419" s="48"/>
      <c r="C419" s="79"/>
      <c r="D419" s="36"/>
      <c r="E419" s="74"/>
      <c r="F419" s="74"/>
      <c r="G419" s="74"/>
      <c r="H419" s="74"/>
      <c r="I419" s="74"/>
      <c r="J419" s="74"/>
      <c r="K419" s="74"/>
      <c r="L419" s="74"/>
      <c r="P419" s="74"/>
    </row>
    <row r="420">
      <c r="A420" s="48"/>
      <c r="C420" s="79"/>
      <c r="D420" s="36"/>
      <c r="E420" s="74"/>
      <c r="F420" s="74"/>
      <c r="G420" s="74"/>
      <c r="H420" s="74"/>
      <c r="I420" s="74"/>
      <c r="J420" s="74"/>
      <c r="K420" s="74"/>
      <c r="L420" s="74"/>
      <c r="P420" s="74"/>
    </row>
    <row r="421">
      <c r="A421" s="48"/>
      <c r="C421" s="79"/>
      <c r="D421" s="36"/>
      <c r="E421" s="74"/>
      <c r="F421" s="74"/>
      <c r="G421" s="74"/>
      <c r="H421" s="74"/>
      <c r="I421" s="74"/>
      <c r="J421" s="74"/>
      <c r="K421" s="74"/>
      <c r="L421" s="74"/>
      <c r="P421" s="74"/>
    </row>
    <row r="422">
      <c r="A422" s="48"/>
      <c r="C422" s="79"/>
      <c r="D422" s="36"/>
      <c r="E422" s="74"/>
      <c r="F422" s="74"/>
      <c r="G422" s="74"/>
      <c r="H422" s="74"/>
      <c r="I422" s="74"/>
      <c r="J422" s="74"/>
      <c r="K422" s="74"/>
      <c r="L422" s="74"/>
      <c r="P422" s="74"/>
    </row>
    <row r="423">
      <c r="A423" s="48"/>
      <c r="C423" s="79"/>
      <c r="D423" s="36"/>
      <c r="E423" s="74"/>
      <c r="F423" s="74"/>
      <c r="G423" s="74"/>
      <c r="H423" s="74"/>
      <c r="I423" s="74"/>
      <c r="J423" s="74"/>
      <c r="K423" s="74"/>
      <c r="L423" s="74"/>
      <c r="P423" s="74"/>
    </row>
    <row r="424">
      <c r="A424" s="48"/>
      <c r="C424" s="79"/>
      <c r="D424" s="36"/>
      <c r="E424" s="74"/>
      <c r="F424" s="74"/>
      <c r="G424" s="74"/>
      <c r="H424" s="74"/>
      <c r="I424" s="74"/>
      <c r="J424" s="74"/>
      <c r="K424" s="74"/>
      <c r="L424" s="74"/>
      <c r="P424" s="74"/>
    </row>
    <row r="425">
      <c r="A425" s="48"/>
      <c r="C425" s="79"/>
      <c r="D425" s="36"/>
      <c r="E425" s="74"/>
      <c r="F425" s="74"/>
      <c r="G425" s="74"/>
      <c r="H425" s="74"/>
      <c r="I425" s="74"/>
      <c r="J425" s="74"/>
      <c r="K425" s="74"/>
      <c r="L425" s="74"/>
      <c r="P425" s="74"/>
    </row>
    <row r="426">
      <c r="A426" s="48"/>
      <c r="C426" s="79"/>
      <c r="D426" s="36"/>
      <c r="E426" s="74"/>
      <c r="F426" s="74"/>
      <c r="G426" s="74"/>
      <c r="H426" s="74"/>
      <c r="I426" s="74"/>
      <c r="J426" s="74"/>
      <c r="K426" s="74"/>
      <c r="L426" s="74"/>
      <c r="P426" s="74"/>
    </row>
    <row r="427">
      <c r="A427" s="48"/>
      <c r="C427" s="79"/>
      <c r="D427" s="36"/>
      <c r="E427" s="74"/>
      <c r="F427" s="74"/>
      <c r="G427" s="74"/>
      <c r="H427" s="74"/>
      <c r="I427" s="74"/>
      <c r="J427" s="74"/>
      <c r="K427" s="74"/>
      <c r="L427" s="74"/>
      <c r="P427" s="74"/>
    </row>
    <row r="428">
      <c r="A428" s="48"/>
      <c r="C428" s="79"/>
      <c r="D428" s="36"/>
      <c r="E428" s="74"/>
      <c r="F428" s="74"/>
      <c r="G428" s="74"/>
      <c r="H428" s="74"/>
      <c r="I428" s="74"/>
      <c r="J428" s="74"/>
      <c r="K428" s="74"/>
      <c r="L428" s="74"/>
      <c r="P428" s="74"/>
    </row>
    <row r="429">
      <c r="A429" s="48"/>
      <c r="C429" s="79"/>
      <c r="D429" s="36"/>
      <c r="E429" s="74"/>
      <c r="F429" s="74"/>
      <c r="G429" s="74"/>
      <c r="H429" s="74"/>
      <c r="I429" s="74"/>
      <c r="J429" s="74"/>
      <c r="K429" s="74"/>
      <c r="L429" s="74"/>
      <c r="P429" s="74"/>
    </row>
    <row r="430">
      <c r="A430" s="48"/>
      <c r="C430" s="79"/>
      <c r="D430" s="36"/>
      <c r="E430" s="74"/>
      <c r="F430" s="74"/>
      <c r="G430" s="74"/>
      <c r="H430" s="74"/>
      <c r="I430" s="74"/>
      <c r="J430" s="74"/>
      <c r="K430" s="74"/>
      <c r="L430" s="74"/>
      <c r="P430" s="74"/>
    </row>
    <row r="431">
      <c r="A431" s="48"/>
      <c r="C431" s="79"/>
      <c r="D431" s="36"/>
      <c r="E431" s="74"/>
      <c r="F431" s="74"/>
      <c r="G431" s="74"/>
      <c r="H431" s="74"/>
      <c r="I431" s="74"/>
      <c r="J431" s="74"/>
      <c r="K431" s="74"/>
      <c r="L431" s="74"/>
      <c r="P431" s="74"/>
    </row>
    <row r="432">
      <c r="A432" s="48"/>
      <c r="C432" s="79"/>
      <c r="D432" s="36"/>
      <c r="E432" s="74"/>
      <c r="F432" s="74"/>
      <c r="G432" s="74"/>
      <c r="H432" s="74"/>
      <c r="I432" s="74"/>
      <c r="J432" s="74"/>
      <c r="K432" s="74"/>
      <c r="L432" s="74"/>
      <c r="P432" s="74"/>
    </row>
    <row r="433">
      <c r="A433" s="48"/>
      <c r="C433" s="79"/>
      <c r="D433" s="36"/>
      <c r="E433" s="74"/>
      <c r="F433" s="74"/>
      <c r="G433" s="74"/>
      <c r="H433" s="74"/>
      <c r="I433" s="74"/>
      <c r="J433" s="74"/>
      <c r="K433" s="74"/>
      <c r="L433" s="74"/>
      <c r="P433" s="74"/>
    </row>
    <row r="434">
      <c r="A434" s="48"/>
      <c r="C434" s="79"/>
      <c r="D434" s="36"/>
      <c r="E434" s="74"/>
      <c r="F434" s="74"/>
      <c r="G434" s="74"/>
      <c r="H434" s="74"/>
      <c r="I434" s="74"/>
      <c r="J434" s="74"/>
      <c r="K434" s="74"/>
      <c r="L434" s="74"/>
      <c r="P434" s="74"/>
    </row>
    <row r="435">
      <c r="A435" s="48"/>
      <c r="C435" s="79"/>
      <c r="D435" s="36"/>
      <c r="E435" s="74"/>
      <c r="F435" s="74"/>
      <c r="G435" s="74"/>
      <c r="H435" s="74"/>
      <c r="I435" s="74"/>
      <c r="J435" s="74"/>
      <c r="K435" s="74"/>
      <c r="L435" s="74"/>
      <c r="P435" s="74"/>
    </row>
    <row r="436">
      <c r="A436" s="48"/>
      <c r="C436" s="79"/>
      <c r="D436" s="36"/>
      <c r="E436" s="74"/>
      <c r="F436" s="74"/>
      <c r="G436" s="74"/>
      <c r="H436" s="74"/>
      <c r="I436" s="74"/>
      <c r="J436" s="74"/>
      <c r="K436" s="74"/>
      <c r="L436" s="74"/>
      <c r="P436" s="74"/>
    </row>
    <row r="437">
      <c r="A437" s="48"/>
      <c r="C437" s="79"/>
      <c r="D437" s="36"/>
      <c r="E437" s="74"/>
      <c r="F437" s="74"/>
      <c r="G437" s="74"/>
      <c r="H437" s="74"/>
      <c r="I437" s="74"/>
      <c r="J437" s="74"/>
      <c r="K437" s="74"/>
      <c r="L437" s="74"/>
      <c r="P437" s="74"/>
    </row>
    <row r="438">
      <c r="A438" s="48"/>
      <c r="C438" s="79"/>
      <c r="D438" s="36"/>
      <c r="E438" s="74"/>
      <c r="F438" s="74"/>
      <c r="G438" s="74"/>
      <c r="H438" s="74"/>
      <c r="I438" s="74"/>
      <c r="J438" s="74"/>
      <c r="K438" s="74"/>
      <c r="L438" s="74"/>
      <c r="P438" s="74"/>
    </row>
    <row r="439">
      <c r="A439" s="48"/>
      <c r="C439" s="79"/>
      <c r="D439" s="36"/>
      <c r="E439" s="74"/>
      <c r="F439" s="74"/>
      <c r="G439" s="74"/>
      <c r="H439" s="74"/>
      <c r="I439" s="74"/>
      <c r="J439" s="74"/>
      <c r="K439" s="74"/>
      <c r="L439" s="74"/>
      <c r="P439" s="74"/>
    </row>
    <row r="440">
      <c r="A440" s="48"/>
      <c r="C440" s="79"/>
      <c r="D440" s="36"/>
      <c r="E440" s="74"/>
      <c r="F440" s="74"/>
      <c r="G440" s="74"/>
      <c r="H440" s="74"/>
      <c r="I440" s="74"/>
      <c r="J440" s="74"/>
      <c r="K440" s="74"/>
      <c r="L440" s="74"/>
      <c r="P440" s="74"/>
    </row>
    <row r="441">
      <c r="A441" s="48"/>
      <c r="C441" s="79"/>
      <c r="D441" s="36"/>
      <c r="E441" s="74"/>
      <c r="F441" s="74"/>
      <c r="G441" s="74"/>
      <c r="H441" s="74"/>
      <c r="I441" s="74"/>
      <c r="J441" s="74"/>
      <c r="K441" s="74"/>
      <c r="L441" s="74"/>
      <c r="P441" s="74"/>
    </row>
    <row r="442">
      <c r="A442" s="48"/>
      <c r="C442" s="79"/>
      <c r="D442" s="36"/>
      <c r="E442" s="74"/>
      <c r="F442" s="74"/>
      <c r="G442" s="74"/>
      <c r="H442" s="74"/>
      <c r="I442" s="74"/>
      <c r="J442" s="74"/>
      <c r="K442" s="74"/>
      <c r="L442" s="74"/>
      <c r="P442" s="74"/>
    </row>
    <row r="443">
      <c r="A443" s="48"/>
      <c r="C443" s="79"/>
      <c r="D443" s="36"/>
      <c r="E443" s="74"/>
      <c r="F443" s="74"/>
      <c r="G443" s="74"/>
      <c r="H443" s="74"/>
      <c r="I443" s="74"/>
      <c r="J443" s="74"/>
      <c r="K443" s="74"/>
      <c r="L443" s="74"/>
      <c r="P443" s="74"/>
    </row>
    <row r="444">
      <c r="A444" s="48"/>
      <c r="C444" s="79"/>
      <c r="D444" s="36"/>
      <c r="E444" s="74"/>
      <c r="F444" s="74"/>
      <c r="G444" s="74"/>
      <c r="H444" s="74"/>
      <c r="I444" s="74"/>
      <c r="J444" s="74"/>
      <c r="K444" s="74"/>
      <c r="L444" s="74"/>
      <c r="P444" s="74"/>
    </row>
    <row r="445">
      <c r="A445" s="48"/>
      <c r="C445" s="79"/>
      <c r="D445" s="36"/>
      <c r="E445" s="74"/>
      <c r="F445" s="74"/>
      <c r="G445" s="74"/>
      <c r="H445" s="74"/>
      <c r="I445" s="74"/>
      <c r="J445" s="74"/>
      <c r="K445" s="74"/>
      <c r="L445" s="74"/>
      <c r="P445" s="74"/>
    </row>
    <row r="446">
      <c r="A446" s="48"/>
      <c r="C446" s="79"/>
      <c r="D446" s="36"/>
      <c r="E446" s="74"/>
      <c r="F446" s="74"/>
      <c r="G446" s="74"/>
      <c r="H446" s="74"/>
      <c r="I446" s="74"/>
      <c r="J446" s="74"/>
      <c r="K446" s="74"/>
      <c r="L446" s="74"/>
      <c r="P446" s="74"/>
    </row>
    <row r="447">
      <c r="A447" s="48"/>
      <c r="C447" s="79"/>
      <c r="D447" s="36"/>
      <c r="E447" s="74"/>
      <c r="F447" s="74"/>
      <c r="G447" s="74"/>
      <c r="H447" s="74"/>
      <c r="I447" s="74"/>
      <c r="J447" s="74"/>
      <c r="K447" s="74"/>
      <c r="L447" s="74"/>
      <c r="P447" s="74"/>
    </row>
    <row r="448">
      <c r="A448" s="48"/>
      <c r="C448" s="79"/>
      <c r="D448" s="36"/>
      <c r="E448" s="74"/>
      <c r="F448" s="74"/>
      <c r="G448" s="74"/>
      <c r="H448" s="74"/>
      <c r="I448" s="74"/>
      <c r="J448" s="74"/>
      <c r="K448" s="74"/>
      <c r="L448" s="74"/>
      <c r="P448" s="74"/>
    </row>
    <row r="449">
      <c r="A449" s="48"/>
      <c r="C449" s="79"/>
      <c r="D449" s="36"/>
      <c r="E449" s="74"/>
      <c r="F449" s="74"/>
      <c r="G449" s="74"/>
      <c r="H449" s="74"/>
      <c r="I449" s="74"/>
      <c r="J449" s="74"/>
      <c r="K449" s="74"/>
      <c r="L449" s="74"/>
      <c r="P449" s="74"/>
    </row>
    <row r="450">
      <c r="A450" s="48"/>
      <c r="C450" s="79"/>
      <c r="D450" s="36"/>
      <c r="E450" s="74"/>
      <c r="F450" s="74"/>
      <c r="G450" s="74"/>
      <c r="H450" s="74"/>
      <c r="I450" s="74"/>
      <c r="J450" s="74"/>
      <c r="K450" s="74"/>
      <c r="L450" s="74"/>
      <c r="P450" s="74"/>
    </row>
    <row r="451">
      <c r="A451" s="48"/>
      <c r="C451" s="79"/>
      <c r="D451" s="36"/>
      <c r="E451" s="74"/>
      <c r="F451" s="74"/>
      <c r="G451" s="74"/>
      <c r="H451" s="74"/>
      <c r="I451" s="74"/>
      <c r="J451" s="74"/>
      <c r="K451" s="74"/>
      <c r="L451" s="74"/>
      <c r="P451" s="74"/>
    </row>
    <row r="452">
      <c r="A452" s="48"/>
      <c r="C452" s="79"/>
      <c r="D452" s="36"/>
      <c r="E452" s="74"/>
      <c r="F452" s="74"/>
      <c r="G452" s="74"/>
      <c r="H452" s="74"/>
      <c r="I452" s="74"/>
      <c r="J452" s="74"/>
      <c r="K452" s="74"/>
      <c r="L452" s="74"/>
      <c r="P452" s="74"/>
    </row>
    <row r="453">
      <c r="A453" s="48"/>
      <c r="C453" s="79"/>
      <c r="D453" s="36"/>
      <c r="E453" s="74"/>
      <c r="F453" s="74"/>
      <c r="G453" s="74"/>
      <c r="H453" s="74"/>
      <c r="I453" s="74"/>
      <c r="J453" s="74"/>
      <c r="K453" s="74"/>
      <c r="L453" s="74"/>
      <c r="P453" s="74"/>
    </row>
    <row r="454">
      <c r="A454" s="48"/>
      <c r="C454" s="79"/>
      <c r="D454" s="36"/>
      <c r="E454" s="74"/>
      <c r="F454" s="74"/>
      <c r="G454" s="74"/>
      <c r="H454" s="74"/>
      <c r="I454" s="74"/>
      <c r="J454" s="74"/>
      <c r="K454" s="74"/>
      <c r="L454" s="74"/>
      <c r="P454" s="74"/>
    </row>
    <row r="455">
      <c r="A455" s="48"/>
      <c r="C455" s="79"/>
      <c r="D455" s="36"/>
      <c r="E455" s="74"/>
      <c r="F455" s="74"/>
      <c r="G455" s="74"/>
      <c r="H455" s="74"/>
      <c r="I455" s="74"/>
      <c r="J455" s="74"/>
      <c r="K455" s="74"/>
      <c r="L455" s="74"/>
      <c r="P455" s="74"/>
    </row>
    <row r="456">
      <c r="A456" s="48"/>
      <c r="C456" s="79"/>
      <c r="D456" s="36"/>
      <c r="E456" s="74"/>
      <c r="F456" s="74"/>
      <c r="G456" s="74"/>
      <c r="H456" s="74"/>
      <c r="I456" s="74"/>
      <c r="J456" s="74"/>
      <c r="K456" s="74"/>
      <c r="L456" s="74"/>
      <c r="P456" s="74"/>
    </row>
    <row r="457">
      <c r="A457" s="48"/>
      <c r="C457" s="79"/>
      <c r="D457" s="36"/>
      <c r="E457" s="74"/>
      <c r="F457" s="74"/>
      <c r="G457" s="74"/>
      <c r="H457" s="74"/>
      <c r="I457" s="74"/>
      <c r="J457" s="74"/>
      <c r="K457" s="74"/>
      <c r="L457" s="74"/>
      <c r="P457" s="74"/>
    </row>
    <row r="458">
      <c r="A458" s="48"/>
      <c r="C458" s="79"/>
      <c r="D458" s="36"/>
      <c r="E458" s="74"/>
      <c r="F458" s="74"/>
      <c r="G458" s="74"/>
      <c r="H458" s="74"/>
      <c r="I458" s="74"/>
      <c r="J458" s="74"/>
      <c r="K458" s="74"/>
      <c r="L458" s="74"/>
      <c r="P458" s="74"/>
    </row>
    <row r="459">
      <c r="A459" s="48"/>
      <c r="C459" s="79"/>
      <c r="D459" s="36"/>
      <c r="E459" s="74"/>
      <c r="F459" s="74"/>
      <c r="G459" s="74"/>
      <c r="H459" s="74"/>
      <c r="I459" s="74"/>
      <c r="J459" s="74"/>
      <c r="K459" s="74"/>
      <c r="L459" s="74"/>
      <c r="P459" s="74"/>
    </row>
    <row r="460">
      <c r="A460" s="48"/>
      <c r="C460" s="79"/>
      <c r="D460" s="36"/>
      <c r="E460" s="74"/>
      <c r="F460" s="74"/>
      <c r="G460" s="74"/>
      <c r="H460" s="74"/>
      <c r="I460" s="74"/>
      <c r="J460" s="74"/>
      <c r="K460" s="74"/>
      <c r="L460" s="74"/>
      <c r="P460" s="74"/>
    </row>
    <row r="461">
      <c r="A461" s="48"/>
      <c r="C461" s="79"/>
      <c r="D461" s="36"/>
      <c r="E461" s="74"/>
      <c r="F461" s="74"/>
      <c r="G461" s="74"/>
      <c r="H461" s="74"/>
      <c r="I461" s="74"/>
      <c r="J461" s="74"/>
      <c r="K461" s="74"/>
      <c r="L461" s="74"/>
      <c r="P461" s="74"/>
    </row>
    <row r="462">
      <c r="A462" s="48"/>
      <c r="C462" s="79"/>
      <c r="D462" s="36"/>
      <c r="E462" s="74"/>
      <c r="F462" s="74"/>
      <c r="G462" s="74"/>
      <c r="H462" s="74"/>
      <c r="I462" s="74"/>
      <c r="J462" s="74"/>
      <c r="K462" s="74"/>
      <c r="L462" s="74"/>
      <c r="P462" s="74"/>
    </row>
    <row r="463">
      <c r="A463" s="48"/>
      <c r="C463" s="79"/>
      <c r="D463" s="36"/>
      <c r="E463" s="74"/>
      <c r="F463" s="74"/>
      <c r="G463" s="74"/>
      <c r="H463" s="74"/>
      <c r="I463" s="74"/>
      <c r="J463" s="74"/>
      <c r="K463" s="74"/>
      <c r="L463" s="74"/>
      <c r="P463" s="74"/>
    </row>
    <row r="464">
      <c r="A464" s="48"/>
      <c r="C464" s="79"/>
      <c r="D464" s="36"/>
      <c r="E464" s="74"/>
      <c r="F464" s="74"/>
      <c r="G464" s="74"/>
      <c r="H464" s="74"/>
      <c r="I464" s="74"/>
      <c r="J464" s="74"/>
      <c r="K464" s="74"/>
      <c r="L464" s="74"/>
      <c r="P464" s="74"/>
    </row>
    <row r="465">
      <c r="A465" s="48"/>
      <c r="C465" s="79"/>
      <c r="D465" s="36"/>
      <c r="E465" s="74"/>
      <c r="F465" s="74"/>
      <c r="G465" s="74"/>
      <c r="H465" s="74"/>
      <c r="I465" s="74"/>
      <c r="J465" s="74"/>
      <c r="K465" s="74"/>
      <c r="L465" s="74"/>
      <c r="P465" s="74"/>
    </row>
    <row r="466">
      <c r="A466" s="48"/>
      <c r="C466" s="79"/>
      <c r="D466" s="36"/>
      <c r="E466" s="74"/>
      <c r="F466" s="74"/>
      <c r="G466" s="74"/>
      <c r="H466" s="74"/>
      <c r="I466" s="74"/>
      <c r="J466" s="74"/>
      <c r="K466" s="74"/>
      <c r="L466" s="74"/>
      <c r="P466" s="74"/>
    </row>
    <row r="467">
      <c r="A467" s="48"/>
      <c r="C467" s="79"/>
      <c r="D467" s="36"/>
      <c r="E467" s="74"/>
      <c r="F467" s="74"/>
      <c r="G467" s="74"/>
      <c r="H467" s="74"/>
      <c r="I467" s="74"/>
      <c r="J467" s="74"/>
      <c r="K467" s="74"/>
      <c r="L467" s="74"/>
      <c r="P467" s="74"/>
    </row>
    <row r="468">
      <c r="A468" s="48"/>
      <c r="C468" s="79"/>
      <c r="D468" s="36"/>
      <c r="E468" s="74"/>
      <c r="F468" s="74"/>
      <c r="G468" s="74"/>
      <c r="H468" s="74"/>
      <c r="I468" s="74"/>
      <c r="J468" s="74"/>
      <c r="K468" s="74"/>
      <c r="L468" s="74"/>
      <c r="P468" s="74"/>
    </row>
    <row r="469">
      <c r="A469" s="48"/>
      <c r="C469" s="79"/>
      <c r="D469" s="36"/>
      <c r="E469" s="74"/>
      <c r="F469" s="74"/>
      <c r="G469" s="74"/>
      <c r="H469" s="74"/>
      <c r="I469" s="74"/>
      <c r="J469" s="74"/>
      <c r="K469" s="74"/>
      <c r="L469" s="74"/>
      <c r="P469" s="74"/>
    </row>
    <row r="470">
      <c r="A470" s="48"/>
      <c r="C470" s="79"/>
      <c r="D470" s="36"/>
      <c r="E470" s="74"/>
      <c r="F470" s="74"/>
      <c r="G470" s="74"/>
      <c r="H470" s="74"/>
      <c r="I470" s="74"/>
      <c r="J470" s="74"/>
      <c r="K470" s="74"/>
      <c r="L470" s="74"/>
      <c r="P470" s="74"/>
    </row>
    <row r="471">
      <c r="A471" s="48"/>
      <c r="C471" s="79"/>
      <c r="D471" s="36"/>
      <c r="E471" s="74"/>
      <c r="F471" s="74"/>
      <c r="G471" s="74"/>
      <c r="H471" s="74"/>
      <c r="I471" s="74"/>
      <c r="J471" s="74"/>
      <c r="K471" s="74"/>
      <c r="L471" s="74"/>
      <c r="P471" s="74"/>
    </row>
    <row r="472">
      <c r="A472" s="48"/>
      <c r="C472" s="79"/>
      <c r="D472" s="36"/>
      <c r="E472" s="74"/>
      <c r="F472" s="74"/>
      <c r="G472" s="74"/>
      <c r="H472" s="74"/>
      <c r="I472" s="74"/>
      <c r="J472" s="74"/>
      <c r="K472" s="74"/>
      <c r="L472" s="74"/>
      <c r="P472" s="74"/>
    </row>
    <row r="473">
      <c r="A473" s="48"/>
      <c r="C473" s="79"/>
      <c r="D473" s="36"/>
      <c r="E473" s="74"/>
      <c r="F473" s="74"/>
      <c r="G473" s="74"/>
      <c r="H473" s="74"/>
      <c r="I473" s="74"/>
      <c r="J473" s="74"/>
      <c r="K473" s="74"/>
      <c r="L473" s="74"/>
      <c r="P473" s="74"/>
    </row>
    <row r="474">
      <c r="A474" s="48"/>
      <c r="C474" s="79"/>
      <c r="D474" s="36"/>
      <c r="E474" s="74"/>
      <c r="F474" s="74"/>
      <c r="G474" s="74"/>
      <c r="H474" s="74"/>
      <c r="I474" s="74"/>
      <c r="J474" s="74"/>
      <c r="K474" s="74"/>
      <c r="L474" s="74"/>
      <c r="P474" s="74"/>
    </row>
    <row r="475">
      <c r="A475" s="48"/>
      <c r="C475" s="79"/>
      <c r="D475" s="36"/>
      <c r="E475" s="74"/>
      <c r="F475" s="74"/>
      <c r="G475" s="74"/>
      <c r="H475" s="74"/>
      <c r="I475" s="74"/>
      <c r="J475" s="74"/>
      <c r="K475" s="74"/>
      <c r="L475" s="74"/>
      <c r="P475" s="74"/>
    </row>
    <row r="476">
      <c r="A476" s="48"/>
      <c r="C476" s="79"/>
      <c r="D476" s="36"/>
      <c r="E476" s="74"/>
      <c r="F476" s="74"/>
      <c r="G476" s="74"/>
      <c r="H476" s="74"/>
      <c r="I476" s="74"/>
      <c r="J476" s="74"/>
      <c r="K476" s="74"/>
      <c r="L476" s="74"/>
      <c r="P476" s="74"/>
    </row>
    <row r="477">
      <c r="A477" s="48"/>
      <c r="C477" s="79"/>
      <c r="D477" s="36"/>
      <c r="E477" s="74"/>
      <c r="F477" s="74"/>
      <c r="G477" s="74"/>
      <c r="H477" s="74"/>
      <c r="I477" s="74"/>
      <c r="J477" s="74"/>
      <c r="K477" s="74"/>
      <c r="L477" s="74"/>
      <c r="P477" s="74"/>
    </row>
    <row r="478">
      <c r="A478" s="48"/>
      <c r="C478" s="79"/>
      <c r="D478" s="36"/>
      <c r="E478" s="74"/>
      <c r="F478" s="74"/>
      <c r="G478" s="74"/>
      <c r="H478" s="74"/>
      <c r="I478" s="74"/>
      <c r="J478" s="74"/>
      <c r="K478" s="74"/>
      <c r="L478" s="74"/>
      <c r="P478" s="74"/>
    </row>
    <row r="479">
      <c r="A479" s="48"/>
      <c r="C479" s="79"/>
      <c r="D479" s="36"/>
      <c r="E479" s="74"/>
      <c r="F479" s="74"/>
      <c r="G479" s="74"/>
      <c r="H479" s="74"/>
      <c r="I479" s="74"/>
      <c r="J479" s="74"/>
      <c r="K479" s="74"/>
      <c r="L479" s="74"/>
      <c r="P479" s="74"/>
    </row>
    <row r="480">
      <c r="A480" s="48"/>
      <c r="C480" s="79"/>
      <c r="D480" s="36"/>
      <c r="E480" s="74"/>
      <c r="F480" s="74"/>
      <c r="G480" s="74"/>
      <c r="H480" s="74"/>
      <c r="I480" s="74"/>
      <c r="J480" s="74"/>
      <c r="K480" s="74"/>
      <c r="L480" s="74"/>
      <c r="P480" s="74"/>
    </row>
    <row r="481">
      <c r="A481" s="48"/>
      <c r="C481" s="79"/>
      <c r="D481" s="36"/>
      <c r="E481" s="74"/>
      <c r="F481" s="74"/>
      <c r="G481" s="74"/>
      <c r="H481" s="74"/>
      <c r="I481" s="74"/>
      <c r="J481" s="74"/>
      <c r="K481" s="74"/>
      <c r="L481" s="74"/>
      <c r="P481" s="74"/>
    </row>
    <row r="482">
      <c r="A482" s="48"/>
      <c r="C482" s="79"/>
      <c r="D482" s="36"/>
      <c r="E482" s="74"/>
      <c r="F482" s="74"/>
      <c r="G482" s="74"/>
      <c r="H482" s="74"/>
      <c r="I482" s="74"/>
      <c r="J482" s="74"/>
      <c r="K482" s="74"/>
      <c r="L482" s="74"/>
      <c r="P482" s="74"/>
    </row>
    <row r="483">
      <c r="A483" s="48"/>
      <c r="C483" s="79"/>
      <c r="D483" s="36"/>
      <c r="E483" s="74"/>
      <c r="F483" s="74"/>
      <c r="G483" s="74"/>
      <c r="H483" s="74"/>
      <c r="I483" s="74"/>
      <c r="J483" s="74"/>
      <c r="K483" s="74"/>
      <c r="L483" s="74"/>
      <c r="P483" s="74"/>
    </row>
    <row r="484">
      <c r="A484" s="48"/>
      <c r="C484" s="79"/>
      <c r="D484" s="36"/>
      <c r="E484" s="74"/>
      <c r="F484" s="74"/>
      <c r="G484" s="74"/>
      <c r="H484" s="74"/>
      <c r="I484" s="74"/>
      <c r="J484" s="74"/>
      <c r="K484" s="74"/>
      <c r="L484" s="74"/>
      <c r="P484" s="74"/>
    </row>
    <row r="485">
      <c r="A485" s="48"/>
      <c r="C485" s="79"/>
      <c r="D485" s="36"/>
      <c r="E485" s="74"/>
      <c r="F485" s="74"/>
      <c r="G485" s="74"/>
      <c r="H485" s="74"/>
      <c r="I485" s="74"/>
      <c r="J485" s="74"/>
      <c r="K485" s="74"/>
      <c r="L485" s="74"/>
      <c r="P485" s="74"/>
    </row>
    <row r="486">
      <c r="A486" s="48"/>
      <c r="C486" s="79"/>
      <c r="D486" s="36"/>
      <c r="E486" s="74"/>
      <c r="F486" s="74"/>
      <c r="G486" s="74"/>
      <c r="H486" s="74"/>
      <c r="I486" s="74"/>
      <c r="J486" s="74"/>
      <c r="K486" s="74"/>
      <c r="L486" s="74"/>
      <c r="P486" s="74"/>
    </row>
    <row r="487">
      <c r="A487" s="48"/>
      <c r="C487" s="79"/>
      <c r="D487" s="36"/>
      <c r="E487" s="74"/>
      <c r="F487" s="74"/>
      <c r="G487" s="74"/>
      <c r="H487" s="74"/>
      <c r="I487" s="74"/>
      <c r="J487" s="74"/>
      <c r="K487" s="74"/>
      <c r="L487" s="74"/>
      <c r="P487" s="74"/>
    </row>
    <row r="488">
      <c r="A488" s="48"/>
      <c r="C488" s="79"/>
      <c r="D488" s="36"/>
      <c r="E488" s="74"/>
      <c r="F488" s="74"/>
      <c r="G488" s="74"/>
      <c r="H488" s="74"/>
      <c r="I488" s="74"/>
      <c r="J488" s="74"/>
      <c r="K488" s="74"/>
      <c r="L488" s="74"/>
      <c r="P488" s="74"/>
    </row>
    <row r="489">
      <c r="A489" s="48"/>
      <c r="C489" s="79"/>
      <c r="D489" s="36"/>
      <c r="E489" s="74"/>
      <c r="F489" s="74"/>
      <c r="G489" s="74"/>
      <c r="H489" s="74"/>
      <c r="I489" s="74"/>
      <c r="J489" s="74"/>
      <c r="K489" s="74"/>
      <c r="L489" s="74"/>
      <c r="P489" s="74"/>
    </row>
    <row r="490">
      <c r="A490" s="48"/>
      <c r="C490" s="79"/>
      <c r="D490" s="36"/>
      <c r="E490" s="74"/>
      <c r="F490" s="74"/>
      <c r="G490" s="74"/>
      <c r="H490" s="74"/>
      <c r="I490" s="74"/>
      <c r="J490" s="74"/>
      <c r="K490" s="74"/>
      <c r="L490" s="74"/>
      <c r="P490" s="74"/>
    </row>
    <row r="491">
      <c r="A491" s="48"/>
      <c r="C491" s="79"/>
      <c r="D491" s="36"/>
      <c r="E491" s="74"/>
      <c r="F491" s="74"/>
      <c r="G491" s="74"/>
      <c r="H491" s="74"/>
      <c r="I491" s="74"/>
      <c r="J491" s="74"/>
      <c r="K491" s="74"/>
      <c r="L491" s="74"/>
      <c r="P491" s="74"/>
    </row>
    <row r="492">
      <c r="A492" s="48"/>
      <c r="C492" s="79"/>
      <c r="D492" s="36"/>
      <c r="E492" s="74"/>
      <c r="F492" s="74"/>
      <c r="G492" s="74"/>
      <c r="H492" s="74"/>
      <c r="I492" s="74"/>
      <c r="J492" s="74"/>
      <c r="K492" s="74"/>
      <c r="L492" s="74"/>
      <c r="P492" s="74"/>
    </row>
    <row r="493">
      <c r="A493" s="48"/>
      <c r="C493" s="79"/>
      <c r="D493" s="36"/>
      <c r="E493" s="74"/>
      <c r="F493" s="74"/>
      <c r="G493" s="74"/>
      <c r="H493" s="74"/>
      <c r="I493" s="74"/>
      <c r="J493" s="74"/>
      <c r="K493" s="74"/>
      <c r="L493" s="74"/>
      <c r="P493" s="74"/>
    </row>
    <row r="494">
      <c r="A494" s="48"/>
      <c r="C494" s="79"/>
      <c r="D494" s="36"/>
      <c r="E494" s="74"/>
      <c r="F494" s="74"/>
      <c r="G494" s="74"/>
      <c r="H494" s="74"/>
      <c r="I494" s="74"/>
      <c r="J494" s="74"/>
      <c r="K494" s="74"/>
      <c r="L494" s="74"/>
      <c r="P494" s="74"/>
    </row>
    <row r="495">
      <c r="A495" s="48"/>
      <c r="C495" s="79"/>
      <c r="D495" s="36"/>
      <c r="E495" s="74"/>
      <c r="F495" s="74"/>
      <c r="G495" s="74"/>
      <c r="H495" s="74"/>
      <c r="I495" s="74"/>
      <c r="J495" s="74"/>
      <c r="K495" s="74"/>
      <c r="L495" s="74"/>
      <c r="P495" s="74"/>
    </row>
    <row r="496">
      <c r="A496" s="48"/>
      <c r="C496" s="79"/>
      <c r="D496" s="36"/>
      <c r="E496" s="74"/>
      <c r="F496" s="74"/>
      <c r="G496" s="74"/>
      <c r="H496" s="74"/>
      <c r="I496" s="74"/>
      <c r="J496" s="74"/>
      <c r="K496" s="74"/>
      <c r="L496" s="74"/>
      <c r="P496" s="74"/>
    </row>
    <row r="497">
      <c r="A497" s="48"/>
      <c r="C497" s="79"/>
      <c r="D497" s="36"/>
      <c r="E497" s="74"/>
      <c r="F497" s="74"/>
      <c r="G497" s="74"/>
      <c r="H497" s="74"/>
      <c r="I497" s="74"/>
      <c r="J497" s="74"/>
      <c r="K497" s="74"/>
      <c r="L497" s="74"/>
      <c r="P497" s="74"/>
    </row>
    <row r="498">
      <c r="A498" s="48"/>
      <c r="C498" s="79"/>
      <c r="D498" s="36"/>
      <c r="E498" s="74"/>
      <c r="F498" s="74"/>
      <c r="G498" s="74"/>
      <c r="H498" s="74"/>
      <c r="I498" s="74"/>
      <c r="J498" s="74"/>
      <c r="K498" s="74"/>
      <c r="L498" s="74"/>
      <c r="P498" s="74"/>
    </row>
    <row r="499">
      <c r="A499" s="48"/>
      <c r="C499" s="79"/>
      <c r="D499" s="36"/>
      <c r="E499" s="74"/>
      <c r="F499" s="74"/>
      <c r="G499" s="74"/>
      <c r="H499" s="74"/>
      <c r="I499" s="74"/>
      <c r="J499" s="74"/>
      <c r="K499" s="74"/>
      <c r="L499" s="74"/>
      <c r="P499" s="74"/>
    </row>
    <row r="500">
      <c r="A500" s="48"/>
      <c r="C500" s="79"/>
      <c r="D500" s="36"/>
      <c r="E500" s="74"/>
      <c r="F500" s="74"/>
      <c r="G500" s="74"/>
      <c r="H500" s="74"/>
      <c r="I500" s="74"/>
      <c r="J500" s="74"/>
      <c r="K500" s="74"/>
      <c r="L500" s="74"/>
      <c r="P500" s="74"/>
    </row>
    <row r="501">
      <c r="A501" s="48"/>
      <c r="C501" s="79"/>
      <c r="D501" s="36"/>
      <c r="E501" s="74"/>
      <c r="F501" s="74"/>
      <c r="G501" s="74"/>
      <c r="H501" s="74"/>
      <c r="I501" s="74"/>
      <c r="J501" s="74"/>
      <c r="K501" s="74"/>
      <c r="L501" s="74"/>
      <c r="P501" s="74"/>
    </row>
    <row r="502">
      <c r="A502" s="48"/>
      <c r="C502" s="79"/>
      <c r="D502" s="36"/>
      <c r="E502" s="74"/>
      <c r="F502" s="74"/>
      <c r="G502" s="74"/>
      <c r="H502" s="74"/>
      <c r="I502" s="74"/>
      <c r="J502" s="74"/>
      <c r="K502" s="74"/>
      <c r="L502" s="74"/>
      <c r="P502" s="74"/>
    </row>
    <row r="503">
      <c r="A503" s="48"/>
      <c r="C503" s="79"/>
      <c r="D503" s="36"/>
      <c r="E503" s="74"/>
      <c r="F503" s="74"/>
      <c r="G503" s="74"/>
      <c r="H503" s="74"/>
      <c r="I503" s="74"/>
      <c r="J503" s="74"/>
      <c r="K503" s="74"/>
      <c r="L503" s="74"/>
      <c r="P503" s="74"/>
    </row>
    <row r="504">
      <c r="A504" s="48"/>
      <c r="C504" s="79"/>
      <c r="D504" s="36"/>
      <c r="E504" s="74"/>
      <c r="F504" s="74"/>
      <c r="G504" s="74"/>
      <c r="H504" s="74"/>
      <c r="I504" s="74"/>
      <c r="J504" s="74"/>
      <c r="K504" s="74"/>
      <c r="L504" s="74"/>
      <c r="P504" s="74"/>
    </row>
    <row r="505">
      <c r="A505" s="48"/>
      <c r="C505" s="79"/>
      <c r="D505" s="36"/>
      <c r="E505" s="74"/>
      <c r="F505" s="74"/>
      <c r="G505" s="74"/>
      <c r="H505" s="74"/>
      <c r="I505" s="74"/>
      <c r="J505" s="74"/>
      <c r="K505" s="74"/>
      <c r="L505" s="74"/>
      <c r="P505" s="74"/>
    </row>
    <row r="506">
      <c r="A506" s="48"/>
      <c r="C506" s="79"/>
      <c r="D506" s="36"/>
      <c r="E506" s="74"/>
      <c r="F506" s="74"/>
      <c r="G506" s="74"/>
      <c r="H506" s="74"/>
      <c r="I506" s="74"/>
      <c r="J506" s="74"/>
      <c r="K506" s="74"/>
      <c r="L506" s="74"/>
      <c r="P506" s="74"/>
    </row>
    <row r="507">
      <c r="A507" s="48"/>
      <c r="C507" s="79"/>
      <c r="D507" s="36"/>
      <c r="E507" s="74"/>
      <c r="F507" s="74"/>
      <c r="G507" s="74"/>
      <c r="H507" s="74"/>
      <c r="I507" s="74"/>
      <c r="J507" s="74"/>
      <c r="K507" s="74"/>
      <c r="L507" s="74"/>
      <c r="P507" s="74"/>
    </row>
    <row r="508">
      <c r="A508" s="48"/>
      <c r="C508" s="79"/>
      <c r="D508" s="36"/>
      <c r="E508" s="74"/>
      <c r="F508" s="74"/>
      <c r="G508" s="74"/>
      <c r="H508" s="74"/>
      <c r="I508" s="74"/>
      <c r="J508" s="74"/>
      <c r="K508" s="74"/>
      <c r="L508" s="74"/>
      <c r="P508" s="74"/>
    </row>
    <row r="509">
      <c r="A509" s="48"/>
      <c r="C509" s="79"/>
      <c r="D509" s="36"/>
      <c r="E509" s="74"/>
      <c r="F509" s="74"/>
      <c r="G509" s="74"/>
      <c r="H509" s="74"/>
      <c r="I509" s="74"/>
      <c r="J509" s="74"/>
      <c r="K509" s="74"/>
      <c r="L509" s="74"/>
      <c r="P509" s="74"/>
    </row>
    <row r="510">
      <c r="A510" s="48"/>
      <c r="C510" s="79"/>
      <c r="D510" s="36"/>
      <c r="E510" s="74"/>
      <c r="F510" s="74"/>
      <c r="G510" s="74"/>
      <c r="H510" s="74"/>
      <c r="I510" s="74"/>
      <c r="J510" s="74"/>
      <c r="K510" s="74"/>
      <c r="L510" s="74"/>
      <c r="P510" s="74"/>
    </row>
    <row r="511">
      <c r="A511" s="48"/>
      <c r="C511" s="79"/>
      <c r="D511" s="36"/>
      <c r="E511" s="74"/>
      <c r="F511" s="74"/>
      <c r="G511" s="74"/>
      <c r="H511" s="74"/>
      <c r="I511" s="74"/>
      <c r="J511" s="74"/>
      <c r="K511" s="74"/>
      <c r="L511" s="74"/>
      <c r="P511" s="74"/>
    </row>
    <row r="512">
      <c r="A512" s="48"/>
      <c r="C512" s="79"/>
      <c r="D512" s="36"/>
      <c r="E512" s="74"/>
      <c r="F512" s="74"/>
      <c r="G512" s="74"/>
      <c r="H512" s="74"/>
      <c r="I512" s="74"/>
      <c r="J512" s="74"/>
      <c r="K512" s="74"/>
      <c r="L512" s="74"/>
      <c r="P512" s="74"/>
    </row>
    <row r="513">
      <c r="A513" s="48"/>
      <c r="C513" s="79"/>
      <c r="D513" s="36"/>
      <c r="E513" s="74"/>
      <c r="F513" s="74"/>
      <c r="G513" s="74"/>
      <c r="H513" s="74"/>
      <c r="I513" s="74"/>
      <c r="J513" s="74"/>
      <c r="K513" s="74"/>
      <c r="L513" s="74"/>
      <c r="P513" s="74"/>
    </row>
    <row r="514">
      <c r="A514" s="48"/>
      <c r="C514" s="79"/>
      <c r="D514" s="36"/>
      <c r="E514" s="74"/>
      <c r="F514" s="74"/>
      <c r="G514" s="74"/>
      <c r="H514" s="74"/>
      <c r="I514" s="74"/>
      <c r="J514" s="74"/>
      <c r="K514" s="74"/>
      <c r="L514" s="74"/>
      <c r="P514" s="74"/>
    </row>
    <row r="515">
      <c r="A515" s="48"/>
      <c r="C515" s="79"/>
      <c r="D515" s="36"/>
      <c r="E515" s="74"/>
      <c r="F515" s="74"/>
      <c r="G515" s="74"/>
      <c r="H515" s="74"/>
      <c r="I515" s="74"/>
      <c r="J515" s="74"/>
      <c r="K515" s="74"/>
      <c r="L515" s="74"/>
      <c r="P515" s="74"/>
    </row>
    <row r="516">
      <c r="A516" s="48"/>
      <c r="C516" s="79"/>
      <c r="D516" s="36"/>
      <c r="E516" s="74"/>
      <c r="F516" s="74"/>
      <c r="G516" s="74"/>
      <c r="H516" s="74"/>
      <c r="I516" s="74"/>
      <c r="J516" s="74"/>
      <c r="K516" s="74"/>
      <c r="L516" s="74"/>
      <c r="P516" s="74"/>
    </row>
    <row r="517">
      <c r="A517" s="48"/>
      <c r="C517" s="79"/>
      <c r="D517" s="36"/>
      <c r="E517" s="74"/>
      <c r="F517" s="74"/>
      <c r="G517" s="74"/>
      <c r="H517" s="74"/>
      <c r="I517" s="74"/>
      <c r="J517" s="74"/>
      <c r="K517" s="74"/>
      <c r="L517" s="74"/>
      <c r="P517" s="74"/>
    </row>
    <row r="518">
      <c r="A518" s="48"/>
      <c r="C518" s="79"/>
      <c r="D518" s="36"/>
      <c r="E518" s="74"/>
      <c r="F518" s="74"/>
      <c r="G518" s="74"/>
      <c r="H518" s="74"/>
      <c r="I518" s="74"/>
      <c r="J518" s="74"/>
      <c r="K518" s="74"/>
      <c r="L518" s="74"/>
      <c r="P518" s="74"/>
    </row>
    <row r="519">
      <c r="A519" s="48"/>
      <c r="C519" s="79"/>
      <c r="D519" s="36"/>
      <c r="E519" s="74"/>
      <c r="F519" s="74"/>
      <c r="G519" s="74"/>
      <c r="H519" s="74"/>
      <c r="I519" s="74"/>
      <c r="J519" s="74"/>
      <c r="K519" s="74"/>
      <c r="L519" s="74"/>
      <c r="P519" s="74"/>
    </row>
    <row r="520">
      <c r="A520" s="48"/>
      <c r="C520" s="79"/>
      <c r="D520" s="36"/>
      <c r="E520" s="74"/>
      <c r="F520" s="74"/>
      <c r="G520" s="74"/>
      <c r="H520" s="74"/>
      <c r="I520" s="74"/>
      <c r="J520" s="74"/>
      <c r="K520" s="74"/>
      <c r="L520" s="74"/>
      <c r="P520" s="74"/>
    </row>
    <row r="521">
      <c r="A521" s="48"/>
      <c r="C521" s="79"/>
      <c r="D521" s="36"/>
      <c r="E521" s="74"/>
      <c r="F521" s="74"/>
      <c r="G521" s="74"/>
      <c r="H521" s="74"/>
      <c r="I521" s="74"/>
      <c r="J521" s="74"/>
      <c r="K521" s="74"/>
      <c r="L521" s="74"/>
      <c r="P521" s="74"/>
    </row>
    <row r="522">
      <c r="A522" s="48"/>
      <c r="C522" s="79"/>
      <c r="D522" s="36"/>
      <c r="E522" s="74"/>
      <c r="F522" s="74"/>
      <c r="G522" s="74"/>
      <c r="H522" s="74"/>
      <c r="I522" s="74"/>
      <c r="J522" s="74"/>
      <c r="K522" s="74"/>
      <c r="L522" s="74"/>
      <c r="P522" s="74"/>
    </row>
    <row r="523">
      <c r="A523" s="48"/>
      <c r="C523" s="79"/>
      <c r="D523" s="36"/>
      <c r="E523" s="74"/>
      <c r="F523" s="74"/>
      <c r="G523" s="74"/>
      <c r="H523" s="74"/>
      <c r="I523" s="74"/>
      <c r="J523" s="74"/>
      <c r="K523" s="74"/>
      <c r="L523" s="74"/>
      <c r="P523" s="74"/>
    </row>
    <row r="524">
      <c r="A524" s="48"/>
      <c r="C524" s="79"/>
      <c r="D524" s="36"/>
      <c r="E524" s="74"/>
      <c r="F524" s="74"/>
      <c r="G524" s="74"/>
      <c r="H524" s="74"/>
      <c r="I524" s="74"/>
      <c r="J524" s="74"/>
      <c r="K524" s="74"/>
      <c r="L524" s="74"/>
      <c r="P524" s="74"/>
    </row>
    <row r="525">
      <c r="A525" s="48"/>
      <c r="C525" s="79"/>
      <c r="D525" s="36"/>
      <c r="E525" s="74"/>
      <c r="F525" s="74"/>
      <c r="G525" s="74"/>
      <c r="H525" s="74"/>
      <c r="I525" s="74"/>
      <c r="J525" s="74"/>
      <c r="K525" s="74"/>
      <c r="L525" s="74"/>
      <c r="P525" s="74"/>
    </row>
    <row r="526">
      <c r="A526" s="48"/>
      <c r="C526" s="79"/>
      <c r="D526" s="36"/>
      <c r="E526" s="74"/>
      <c r="F526" s="74"/>
      <c r="G526" s="74"/>
      <c r="H526" s="74"/>
      <c r="I526" s="74"/>
      <c r="J526" s="74"/>
      <c r="K526" s="74"/>
      <c r="L526" s="74"/>
      <c r="P526" s="74"/>
    </row>
    <row r="527">
      <c r="A527" s="48"/>
      <c r="C527" s="79"/>
      <c r="D527" s="36"/>
      <c r="E527" s="74"/>
      <c r="F527" s="74"/>
      <c r="G527" s="74"/>
      <c r="H527" s="74"/>
      <c r="I527" s="74"/>
      <c r="J527" s="74"/>
      <c r="K527" s="74"/>
      <c r="L527" s="74"/>
      <c r="P527" s="74"/>
    </row>
    <row r="528">
      <c r="A528" s="48"/>
      <c r="C528" s="79"/>
      <c r="D528" s="36"/>
      <c r="E528" s="74"/>
      <c r="F528" s="74"/>
      <c r="G528" s="74"/>
      <c r="H528" s="74"/>
      <c r="I528" s="74"/>
      <c r="J528" s="74"/>
      <c r="K528" s="74"/>
      <c r="L528" s="74"/>
      <c r="P528" s="74"/>
    </row>
    <row r="529">
      <c r="A529" s="48"/>
      <c r="C529" s="79"/>
      <c r="D529" s="36"/>
      <c r="E529" s="74"/>
      <c r="F529" s="74"/>
      <c r="G529" s="74"/>
      <c r="H529" s="74"/>
      <c r="I529" s="74"/>
      <c r="J529" s="74"/>
      <c r="K529" s="74"/>
      <c r="L529" s="74"/>
      <c r="P529" s="74"/>
    </row>
    <row r="530">
      <c r="A530" s="48"/>
      <c r="C530" s="79"/>
      <c r="D530" s="36"/>
      <c r="E530" s="74"/>
      <c r="F530" s="74"/>
      <c r="G530" s="74"/>
      <c r="H530" s="74"/>
      <c r="I530" s="74"/>
      <c r="J530" s="74"/>
      <c r="K530" s="74"/>
      <c r="L530" s="74"/>
      <c r="P530" s="74"/>
    </row>
    <row r="531">
      <c r="A531" s="48"/>
      <c r="C531" s="79"/>
      <c r="D531" s="36"/>
      <c r="E531" s="74"/>
      <c r="F531" s="74"/>
      <c r="G531" s="74"/>
      <c r="H531" s="74"/>
      <c r="I531" s="74"/>
      <c r="J531" s="74"/>
      <c r="K531" s="74"/>
      <c r="L531" s="74"/>
      <c r="P531" s="74"/>
    </row>
    <row r="532">
      <c r="A532" s="48"/>
      <c r="C532" s="79"/>
      <c r="D532" s="36"/>
      <c r="E532" s="74"/>
      <c r="F532" s="74"/>
      <c r="G532" s="74"/>
      <c r="H532" s="74"/>
      <c r="I532" s="74"/>
      <c r="J532" s="74"/>
      <c r="K532" s="74"/>
      <c r="L532" s="74"/>
      <c r="P532" s="74"/>
    </row>
    <row r="533">
      <c r="A533" s="48"/>
      <c r="C533" s="79"/>
      <c r="D533" s="36"/>
      <c r="E533" s="74"/>
      <c r="F533" s="74"/>
      <c r="G533" s="74"/>
      <c r="H533" s="74"/>
      <c r="I533" s="74"/>
      <c r="J533" s="74"/>
      <c r="K533" s="74"/>
      <c r="L533" s="74"/>
      <c r="P533" s="74"/>
    </row>
    <row r="534">
      <c r="A534" s="48"/>
      <c r="C534" s="79"/>
      <c r="D534" s="36"/>
      <c r="E534" s="74"/>
      <c r="F534" s="74"/>
      <c r="G534" s="74"/>
      <c r="H534" s="74"/>
      <c r="I534" s="74"/>
      <c r="J534" s="74"/>
      <c r="K534" s="74"/>
      <c r="L534" s="74"/>
      <c r="P534" s="74"/>
    </row>
    <row r="535">
      <c r="A535" s="48"/>
      <c r="C535" s="79"/>
      <c r="D535" s="36"/>
      <c r="E535" s="74"/>
      <c r="F535" s="74"/>
      <c r="G535" s="74"/>
      <c r="H535" s="74"/>
      <c r="I535" s="74"/>
      <c r="J535" s="74"/>
      <c r="K535" s="74"/>
      <c r="L535" s="74"/>
      <c r="P535" s="74"/>
    </row>
    <row r="536">
      <c r="A536" s="48"/>
      <c r="C536" s="79"/>
      <c r="D536" s="36"/>
      <c r="E536" s="74"/>
      <c r="F536" s="74"/>
      <c r="G536" s="74"/>
      <c r="H536" s="74"/>
      <c r="I536" s="74"/>
      <c r="J536" s="74"/>
      <c r="K536" s="74"/>
      <c r="L536" s="74"/>
      <c r="P536" s="74"/>
    </row>
    <row r="537">
      <c r="A537" s="48"/>
      <c r="C537" s="79"/>
      <c r="D537" s="36"/>
      <c r="E537" s="74"/>
      <c r="F537" s="74"/>
      <c r="G537" s="74"/>
      <c r="H537" s="74"/>
      <c r="I537" s="74"/>
      <c r="J537" s="74"/>
      <c r="K537" s="74"/>
      <c r="L537" s="74"/>
      <c r="P537" s="74"/>
    </row>
    <row r="538">
      <c r="A538" s="48"/>
      <c r="C538" s="79"/>
      <c r="D538" s="36"/>
      <c r="E538" s="74"/>
      <c r="F538" s="74"/>
      <c r="G538" s="74"/>
      <c r="H538" s="74"/>
      <c r="I538" s="74"/>
      <c r="J538" s="74"/>
      <c r="K538" s="74"/>
      <c r="L538" s="74"/>
      <c r="P538" s="74"/>
    </row>
    <row r="539">
      <c r="A539" s="48"/>
      <c r="C539" s="79"/>
      <c r="D539" s="36"/>
      <c r="E539" s="74"/>
      <c r="F539" s="74"/>
      <c r="G539" s="74"/>
      <c r="H539" s="74"/>
      <c r="I539" s="74"/>
      <c r="J539" s="74"/>
      <c r="K539" s="74"/>
      <c r="L539" s="74"/>
      <c r="P539" s="74"/>
    </row>
    <row r="540">
      <c r="A540" s="48"/>
      <c r="C540" s="79"/>
      <c r="D540" s="36"/>
      <c r="E540" s="74"/>
      <c r="F540" s="74"/>
      <c r="G540" s="74"/>
      <c r="H540" s="74"/>
      <c r="I540" s="74"/>
      <c r="J540" s="74"/>
      <c r="K540" s="74"/>
      <c r="L540" s="74"/>
      <c r="P540" s="74"/>
    </row>
    <row r="541">
      <c r="A541" s="48"/>
      <c r="C541" s="79"/>
      <c r="D541" s="36"/>
      <c r="E541" s="74"/>
      <c r="F541" s="74"/>
      <c r="G541" s="74"/>
      <c r="H541" s="74"/>
      <c r="I541" s="74"/>
      <c r="J541" s="74"/>
      <c r="K541" s="74"/>
      <c r="L541" s="74"/>
      <c r="P541" s="74"/>
    </row>
    <row r="542">
      <c r="A542" s="48"/>
      <c r="C542" s="79"/>
      <c r="D542" s="36"/>
      <c r="E542" s="74"/>
      <c r="F542" s="74"/>
      <c r="G542" s="74"/>
      <c r="H542" s="74"/>
      <c r="I542" s="74"/>
      <c r="J542" s="74"/>
      <c r="K542" s="74"/>
      <c r="L542" s="74"/>
      <c r="P542" s="74"/>
    </row>
    <row r="543">
      <c r="A543" s="48"/>
      <c r="C543" s="79"/>
      <c r="D543" s="36"/>
      <c r="E543" s="74"/>
      <c r="F543" s="74"/>
      <c r="G543" s="74"/>
      <c r="H543" s="74"/>
      <c r="I543" s="74"/>
      <c r="J543" s="74"/>
      <c r="K543" s="74"/>
      <c r="L543" s="74"/>
      <c r="P543" s="74"/>
    </row>
    <row r="544">
      <c r="A544" s="48"/>
      <c r="C544" s="79"/>
      <c r="D544" s="36"/>
      <c r="E544" s="74"/>
      <c r="F544" s="74"/>
      <c r="G544" s="74"/>
      <c r="H544" s="74"/>
      <c r="I544" s="74"/>
      <c r="J544" s="74"/>
      <c r="K544" s="74"/>
      <c r="L544" s="74"/>
      <c r="P544" s="74"/>
    </row>
    <row r="545">
      <c r="A545" s="48"/>
      <c r="C545" s="79"/>
      <c r="D545" s="36"/>
      <c r="E545" s="74"/>
      <c r="F545" s="74"/>
      <c r="G545" s="74"/>
      <c r="H545" s="74"/>
      <c r="I545" s="74"/>
      <c r="J545" s="74"/>
      <c r="K545" s="74"/>
      <c r="L545" s="74"/>
      <c r="P545" s="74"/>
    </row>
    <row r="546">
      <c r="A546" s="48"/>
      <c r="C546" s="79"/>
      <c r="D546" s="36"/>
      <c r="E546" s="74"/>
      <c r="F546" s="74"/>
      <c r="G546" s="74"/>
      <c r="H546" s="74"/>
      <c r="I546" s="74"/>
      <c r="J546" s="74"/>
      <c r="K546" s="74"/>
      <c r="L546" s="74"/>
      <c r="P546" s="74"/>
    </row>
    <row r="547">
      <c r="A547" s="48"/>
      <c r="C547" s="79"/>
      <c r="D547" s="36"/>
      <c r="E547" s="74"/>
      <c r="F547" s="74"/>
      <c r="G547" s="74"/>
      <c r="H547" s="74"/>
      <c r="I547" s="74"/>
      <c r="J547" s="74"/>
      <c r="K547" s="74"/>
      <c r="L547" s="74"/>
      <c r="P547" s="74"/>
    </row>
    <row r="548">
      <c r="A548" s="48"/>
      <c r="C548" s="79"/>
      <c r="D548" s="36"/>
      <c r="E548" s="74"/>
      <c r="F548" s="74"/>
      <c r="G548" s="74"/>
      <c r="H548" s="74"/>
      <c r="I548" s="74"/>
      <c r="J548" s="74"/>
      <c r="K548" s="74"/>
      <c r="L548" s="74"/>
      <c r="P548" s="74"/>
    </row>
    <row r="549">
      <c r="A549" s="48"/>
      <c r="C549" s="79"/>
      <c r="D549" s="36"/>
      <c r="E549" s="74"/>
      <c r="F549" s="74"/>
      <c r="G549" s="74"/>
      <c r="H549" s="74"/>
      <c r="I549" s="74"/>
      <c r="J549" s="74"/>
      <c r="K549" s="74"/>
      <c r="L549" s="74"/>
      <c r="P549" s="74"/>
    </row>
    <row r="550">
      <c r="A550" s="48"/>
      <c r="C550" s="79"/>
      <c r="D550" s="36"/>
      <c r="E550" s="74"/>
      <c r="F550" s="74"/>
      <c r="G550" s="74"/>
      <c r="H550" s="74"/>
      <c r="I550" s="74"/>
      <c r="J550" s="74"/>
      <c r="K550" s="74"/>
      <c r="L550" s="74"/>
      <c r="P550" s="74"/>
    </row>
    <row r="551">
      <c r="A551" s="48"/>
      <c r="C551" s="79"/>
      <c r="D551" s="36"/>
      <c r="E551" s="74"/>
      <c r="F551" s="74"/>
      <c r="G551" s="74"/>
      <c r="H551" s="74"/>
      <c r="I551" s="74"/>
      <c r="J551" s="74"/>
      <c r="K551" s="74"/>
      <c r="L551" s="74"/>
      <c r="P551" s="74"/>
    </row>
    <row r="552">
      <c r="A552" s="48"/>
      <c r="C552" s="79"/>
      <c r="D552" s="36"/>
      <c r="E552" s="74"/>
      <c r="F552" s="74"/>
      <c r="G552" s="74"/>
      <c r="H552" s="74"/>
      <c r="I552" s="74"/>
      <c r="J552" s="74"/>
      <c r="K552" s="74"/>
      <c r="L552" s="74"/>
      <c r="P552" s="74"/>
    </row>
    <row r="553">
      <c r="A553" s="48"/>
      <c r="C553" s="79"/>
      <c r="D553" s="36"/>
      <c r="E553" s="74"/>
      <c r="F553" s="74"/>
      <c r="G553" s="74"/>
      <c r="H553" s="74"/>
      <c r="I553" s="74"/>
      <c r="J553" s="74"/>
      <c r="K553" s="74"/>
      <c r="L553" s="74"/>
      <c r="P553" s="74"/>
    </row>
    <row r="554">
      <c r="A554" s="48"/>
      <c r="C554" s="79"/>
      <c r="D554" s="36"/>
      <c r="E554" s="74"/>
      <c r="F554" s="74"/>
      <c r="G554" s="74"/>
      <c r="H554" s="74"/>
      <c r="I554" s="74"/>
      <c r="J554" s="74"/>
      <c r="K554" s="74"/>
      <c r="L554" s="74"/>
      <c r="P554" s="74"/>
    </row>
    <row r="555">
      <c r="A555" s="48"/>
      <c r="C555" s="79"/>
      <c r="D555" s="36"/>
      <c r="E555" s="74"/>
      <c r="F555" s="74"/>
      <c r="G555" s="74"/>
      <c r="H555" s="74"/>
      <c r="I555" s="74"/>
      <c r="J555" s="74"/>
      <c r="K555" s="74"/>
      <c r="L555" s="74"/>
      <c r="P555" s="74"/>
    </row>
    <row r="556">
      <c r="A556" s="48"/>
      <c r="C556" s="79"/>
      <c r="D556" s="36"/>
      <c r="E556" s="74"/>
      <c r="F556" s="74"/>
      <c r="G556" s="74"/>
      <c r="H556" s="74"/>
      <c r="I556" s="74"/>
      <c r="J556" s="74"/>
      <c r="K556" s="74"/>
      <c r="L556" s="74"/>
      <c r="P556" s="74"/>
    </row>
    <row r="557">
      <c r="A557" s="48"/>
      <c r="C557" s="79"/>
      <c r="D557" s="36"/>
      <c r="E557" s="74"/>
      <c r="F557" s="74"/>
      <c r="G557" s="74"/>
      <c r="H557" s="74"/>
      <c r="I557" s="74"/>
      <c r="J557" s="74"/>
      <c r="K557" s="74"/>
      <c r="L557" s="74"/>
      <c r="P557" s="74"/>
    </row>
    <row r="558">
      <c r="A558" s="48"/>
      <c r="C558" s="79"/>
      <c r="D558" s="36"/>
      <c r="E558" s="74"/>
      <c r="F558" s="74"/>
      <c r="G558" s="74"/>
      <c r="H558" s="74"/>
      <c r="I558" s="74"/>
      <c r="J558" s="74"/>
      <c r="K558" s="74"/>
      <c r="L558" s="74"/>
      <c r="P558" s="74"/>
    </row>
    <row r="559">
      <c r="A559" s="48"/>
      <c r="C559" s="79"/>
      <c r="D559" s="36"/>
      <c r="E559" s="74"/>
      <c r="F559" s="74"/>
      <c r="G559" s="74"/>
      <c r="H559" s="74"/>
      <c r="I559" s="74"/>
      <c r="J559" s="74"/>
      <c r="K559" s="74"/>
      <c r="L559" s="74"/>
      <c r="P559" s="74"/>
    </row>
    <row r="560">
      <c r="A560" s="48"/>
      <c r="C560" s="79"/>
      <c r="D560" s="36"/>
      <c r="E560" s="74"/>
      <c r="F560" s="74"/>
      <c r="G560" s="74"/>
      <c r="H560" s="74"/>
      <c r="I560" s="74"/>
      <c r="J560" s="74"/>
      <c r="K560" s="74"/>
      <c r="L560" s="74"/>
      <c r="P560" s="74"/>
    </row>
    <row r="561">
      <c r="A561" s="48"/>
      <c r="C561" s="79"/>
      <c r="D561" s="36"/>
      <c r="E561" s="74"/>
      <c r="F561" s="74"/>
      <c r="G561" s="74"/>
      <c r="H561" s="74"/>
      <c r="I561" s="74"/>
      <c r="J561" s="74"/>
      <c r="K561" s="74"/>
      <c r="L561" s="74"/>
      <c r="P561" s="74"/>
    </row>
    <row r="562">
      <c r="A562" s="48"/>
      <c r="C562" s="79"/>
      <c r="D562" s="36"/>
      <c r="E562" s="74"/>
      <c r="F562" s="74"/>
      <c r="G562" s="74"/>
      <c r="H562" s="74"/>
      <c r="I562" s="74"/>
      <c r="J562" s="74"/>
      <c r="K562" s="74"/>
      <c r="L562" s="74"/>
      <c r="P562" s="74"/>
    </row>
    <row r="563">
      <c r="A563" s="48"/>
      <c r="C563" s="79"/>
      <c r="D563" s="36"/>
      <c r="E563" s="74"/>
      <c r="F563" s="74"/>
      <c r="G563" s="74"/>
      <c r="H563" s="74"/>
      <c r="I563" s="74"/>
      <c r="J563" s="74"/>
      <c r="K563" s="74"/>
      <c r="L563" s="74"/>
      <c r="P563" s="74"/>
    </row>
    <row r="564">
      <c r="A564" s="48"/>
      <c r="C564" s="79"/>
      <c r="D564" s="36"/>
      <c r="E564" s="74"/>
      <c r="F564" s="74"/>
      <c r="G564" s="74"/>
      <c r="H564" s="74"/>
      <c r="I564" s="74"/>
      <c r="J564" s="74"/>
      <c r="K564" s="74"/>
      <c r="L564" s="74"/>
      <c r="P564" s="74"/>
    </row>
    <row r="565">
      <c r="A565" s="48"/>
      <c r="C565" s="79"/>
      <c r="D565" s="36"/>
      <c r="E565" s="74"/>
      <c r="F565" s="74"/>
      <c r="G565" s="74"/>
      <c r="H565" s="74"/>
      <c r="I565" s="74"/>
      <c r="J565" s="74"/>
      <c r="K565" s="74"/>
      <c r="L565" s="74"/>
      <c r="P565" s="74"/>
    </row>
    <row r="566">
      <c r="A566" s="48"/>
      <c r="C566" s="79"/>
      <c r="D566" s="36"/>
      <c r="E566" s="74"/>
      <c r="F566" s="74"/>
      <c r="G566" s="74"/>
      <c r="H566" s="74"/>
      <c r="I566" s="74"/>
      <c r="J566" s="74"/>
      <c r="K566" s="74"/>
      <c r="L566" s="74"/>
      <c r="P566" s="74"/>
    </row>
    <row r="567">
      <c r="A567" s="48"/>
      <c r="C567" s="79"/>
      <c r="D567" s="36"/>
      <c r="E567" s="74"/>
      <c r="F567" s="74"/>
      <c r="G567" s="74"/>
      <c r="H567" s="74"/>
      <c r="I567" s="74"/>
      <c r="J567" s="74"/>
      <c r="K567" s="74"/>
      <c r="L567" s="74"/>
      <c r="P567" s="74"/>
    </row>
    <row r="568">
      <c r="A568" s="48"/>
      <c r="C568" s="79"/>
      <c r="D568" s="36"/>
      <c r="E568" s="74"/>
      <c r="F568" s="74"/>
      <c r="G568" s="74"/>
      <c r="H568" s="74"/>
      <c r="I568" s="74"/>
      <c r="J568" s="74"/>
      <c r="K568" s="74"/>
      <c r="L568" s="74"/>
      <c r="P568" s="74"/>
    </row>
    <row r="569">
      <c r="A569" s="48"/>
      <c r="C569" s="79"/>
      <c r="D569" s="36"/>
      <c r="E569" s="74"/>
      <c r="F569" s="74"/>
      <c r="G569" s="74"/>
      <c r="H569" s="74"/>
      <c r="I569" s="74"/>
      <c r="J569" s="74"/>
      <c r="K569" s="74"/>
      <c r="L569" s="74"/>
      <c r="P569" s="74"/>
    </row>
    <row r="570">
      <c r="A570" s="48"/>
      <c r="C570" s="79"/>
      <c r="D570" s="36"/>
      <c r="E570" s="74"/>
      <c r="F570" s="74"/>
      <c r="G570" s="74"/>
      <c r="H570" s="74"/>
      <c r="I570" s="74"/>
      <c r="J570" s="74"/>
      <c r="K570" s="74"/>
      <c r="L570" s="74"/>
      <c r="P570" s="74"/>
    </row>
    <row r="571">
      <c r="A571" s="48"/>
      <c r="C571" s="79"/>
      <c r="D571" s="36"/>
      <c r="E571" s="74"/>
      <c r="F571" s="74"/>
      <c r="G571" s="74"/>
      <c r="H571" s="74"/>
      <c r="I571" s="74"/>
      <c r="J571" s="74"/>
      <c r="K571" s="74"/>
      <c r="L571" s="74"/>
      <c r="P571" s="74"/>
    </row>
    <row r="572">
      <c r="A572" s="48"/>
      <c r="C572" s="79"/>
      <c r="D572" s="36"/>
      <c r="E572" s="74"/>
      <c r="F572" s="74"/>
      <c r="G572" s="74"/>
      <c r="H572" s="74"/>
      <c r="I572" s="74"/>
      <c r="J572" s="74"/>
      <c r="K572" s="74"/>
      <c r="L572" s="74"/>
      <c r="P572" s="74"/>
    </row>
    <row r="573">
      <c r="A573" s="48"/>
      <c r="C573" s="79"/>
      <c r="D573" s="36"/>
      <c r="E573" s="74"/>
      <c r="F573" s="74"/>
      <c r="G573" s="74"/>
      <c r="H573" s="74"/>
      <c r="I573" s="74"/>
      <c r="J573" s="74"/>
      <c r="K573" s="74"/>
      <c r="L573" s="74"/>
      <c r="P573" s="74"/>
    </row>
    <row r="574">
      <c r="A574" s="48"/>
      <c r="C574" s="79"/>
      <c r="D574" s="36"/>
      <c r="E574" s="74"/>
      <c r="F574" s="74"/>
      <c r="G574" s="74"/>
      <c r="H574" s="74"/>
      <c r="I574" s="74"/>
      <c r="J574" s="74"/>
      <c r="K574" s="74"/>
      <c r="L574" s="74"/>
      <c r="P574" s="74"/>
    </row>
    <row r="575">
      <c r="A575" s="48"/>
      <c r="C575" s="79"/>
      <c r="D575" s="36"/>
      <c r="E575" s="74"/>
      <c r="F575" s="74"/>
      <c r="G575" s="74"/>
      <c r="H575" s="74"/>
      <c r="I575" s="74"/>
      <c r="J575" s="74"/>
      <c r="K575" s="74"/>
      <c r="L575" s="74"/>
      <c r="P575" s="74"/>
    </row>
    <row r="576">
      <c r="A576" s="48"/>
      <c r="C576" s="79"/>
      <c r="D576" s="36"/>
      <c r="E576" s="74"/>
      <c r="F576" s="74"/>
      <c r="G576" s="74"/>
      <c r="H576" s="74"/>
      <c r="I576" s="74"/>
      <c r="J576" s="74"/>
      <c r="K576" s="74"/>
      <c r="L576" s="74"/>
      <c r="P576" s="74"/>
    </row>
    <row r="577">
      <c r="A577" s="48"/>
      <c r="C577" s="79"/>
      <c r="D577" s="36"/>
      <c r="E577" s="74"/>
      <c r="F577" s="74"/>
      <c r="G577" s="74"/>
      <c r="H577" s="74"/>
      <c r="I577" s="74"/>
      <c r="J577" s="74"/>
      <c r="K577" s="74"/>
      <c r="L577" s="74"/>
      <c r="P577" s="74"/>
    </row>
    <row r="578">
      <c r="A578" s="48"/>
      <c r="C578" s="79"/>
      <c r="D578" s="36"/>
      <c r="E578" s="74"/>
      <c r="F578" s="74"/>
      <c r="G578" s="74"/>
      <c r="H578" s="74"/>
      <c r="I578" s="74"/>
      <c r="J578" s="74"/>
      <c r="K578" s="74"/>
      <c r="L578" s="74"/>
      <c r="P578" s="74"/>
    </row>
    <row r="579">
      <c r="A579" s="48"/>
      <c r="C579" s="79"/>
      <c r="D579" s="36"/>
      <c r="E579" s="74"/>
      <c r="F579" s="74"/>
      <c r="G579" s="74"/>
      <c r="H579" s="74"/>
      <c r="I579" s="74"/>
      <c r="J579" s="74"/>
      <c r="K579" s="74"/>
      <c r="L579" s="74"/>
      <c r="P579" s="74"/>
    </row>
    <row r="580">
      <c r="A580" s="48"/>
      <c r="C580" s="79"/>
      <c r="D580" s="36"/>
      <c r="E580" s="74"/>
      <c r="F580" s="74"/>
      <c r="G580" s="74"/>
      <c r="H580" s="74"/>
      <c r="I580" s="74"/>
      <c r="J580" s="74"/>
      <c r="K580" s="74"/>
      <c r="L580" s="74"/>
      <c r="P580" s="74"/>
    </row>
    <row r="581">
      <c r="A581" s="48"/>
      <c r="C581" s="79"/>
      <c r="D581" s="36"/>
      <c r="E581" s="74"/>
      <c r="F581" s="74"/>
      <c r="G581" s="74"/>
      <c r="H581" s="74"/>
      <c r="I581" s="74"/>
      <c r="J581" s="74"/>
      <c r="K581" s="74"/>
      <c r="L581" s="74"/>
      <c r="P581" s="74"/>
    </row>
    <row r="582">
      <c r="A582" s="48"/>
      <c r="C582" s="79"/>
      <c r="D582" s="36"/>
      <c r="E582" s="74"/>
      <c r="F582" s="74"/>
      <c r="G582" s="74"/>
      <c r="H582" s="74"/>
      <c r="I582" s="74"/>
      <c r="J582" s="74"/>
      <c r="K582" s="74"/>
      <c r="L582" s="74"/>
      <c r="P582" s="74"/>
    </row>
    <row r="583">
      <c r="A583" s="48"/>
      <c r="C583" s="79"/>
      <c r="D583" s="36"/>
      <c r="E583" s="74"/>
      <c r="F583" s="74"/>
      <c r="G583" s="74"/>
      <c r="H583" s="74"/>
      <c r="I583" s="74"/>
      <c r="J583" s="74"/>
      <c r="K583" s="74"/>
      <c r="L583" s="74"/>
      <c r="P583" s="74"/>
    </row>
    <row r="584">
      <c r="A584" s="48"/>
      <c r="C584" s="79"/>
      <c r="D584" s="36"/>
      <c r="E584" s="74"/>
      <c r="F584" s="74"/>
      <c r="G584" s="74"/>
      <c r="H584" s="74"/>
      <c r="I584" s="74"/>
      <c r="J584" s="74"/>
      <c r="K584" s="74"/>
      <c r="L584" s="74"/>
      <c r="P584" s="74"/>
    </row>
    <row r="585">
      <c r="A585" s="48"/>
      <c r="C585" s="79"/>
      <c r="D585" s="36"/>
      <c r="E585" s="74"/>
      <c r="F585" s="74"/>
      <c r="G585" s="74"/>
      <c r="H585" s="74"/>
      <c r="I585" s="74"/>
      <c r="J585" s="74"/>
      <c r="K585" s="74"/>
      <c r="L585" s="74"/>
      <c r="P585" s="74"/>
    </row>
    <row r="586">
      <c r="A586" s="48"/>
      <c r="C586" s="79"/>
      <c r="D586" s="36"/>
      <c r="E586" s="74"/>
      <c r="F586" s="74"/>
      <c r="G586" s="74"/>
      <c r="H586" s="74"/>
      <c r="I586" s="74"/>
      <c r="J586" s="74"/>
      <c r="K586" s="74"/>
      <c r="L586" s="74"/>
      <c r="P586" s="74"/>
    </row>
    <row r="587">
      <c r="A587" s="48"/>
      <c r="C587" s="79"/>
      <c r="D587" s="36"/>
      <c r="E587" s="74"/>
      <c r="F587" s="74"/>
      <c r="G587" s="74"/>
      <c r="H587" s="74"/>
      <c r="I587" s="74"/>
      <c r="J587" s="74"/>
      <c r="K587" s="74"/>
      <c r="L587" s="74"/>
      <c r="P587" s="74"/>
    </row>
    <row r="588">
      <c r="A588" s="48"/>
      <c r="C588" s="79"/>
      <c r="D588" s="36"/>
      <c r="E588" s="74"/>
      <c r="F588" s="74"/>
      <c r="G588" s="74"/>
      <c r="H588" s="74"/>
      <c r="I588" s="74"/>
      <c r="J588" s="74"/>
      <c r="K588" s="74"/>
      <c r="L588" s="74"/>
      <c r="P588" s="74"/>
    </row>
    <row r="589">
      <c r="A589" s="48"/>
      <c r="C589" s="79"/>
      <c r="D589" s="36"/>
      <c r="E589" s="74"/>
      <c r="F589" s="74"/>
      <c r="G589" s="74"/>
      <c r="H589" s="74"/>
      <c r="I589" s="74"/>
      <c r="J589" s="74"/>
      <c r="K589" s="74"/>
      <c r="L589" s="74"/>
      <c r="P589" s="74"/>
    </row>
    <row r="590">
      <c r="A590" s="48"/>
      <c r="C590" s="79"/>
      <c r="D590" s="36"/>
      <c r="E590" s="74"/>
      <c r="F590" s="74"/>
      <c r="G590" s="74"/>
      <c r="H590" s="74"/>
      <c r="I590" s="74"/>
      <c r="J590" s="74"/>
      <c r="K590" s="74"/>
      <c r="L590" s="74"/>
      <c r="P590" s="74"/>
    </row>
    <row r="591">
      <c r="A591" s="48"/>
      <c r="C591" s="79"/>
      <c r="D591" s="36"/>
      <c r="E591" s="74"/>
      <c r="F591" s="74"/>
      <c r="G591" s="74"/>
      <c r="H591" s="74"/>
      <c r="I591" s="74"/>
      <c r="J591" s="74"/>
      <c r="K591" s="74"/>
      <c r="L591" s="74"/>
      <c r="P591" s="74"/>
    </row>
    <row r="592">
      <c r="A592" s="48"/>
      <c r="C592" s="79"/>
      <c r="D592" s="36"/>
      <c r="E592" s="74"/>
      <c r="F592" s="74"/>
      <c r="G592" s="74"/>
      <c r="H592" s="74"/>
      <c r="I592" s="74"/>
      <c r="J592" s="74"/>
      <c r="K592" s="74"/>
      <c r="L592" s="74"/>
      <c r="P592" s="74"/>
    </row>
    <row r="593">
      <c r="A593" s="48"/>
      <c r="C593" s="79"/>
      <c r="D593" s="36"/>
      <c r="E593" s="74"/>
      <c r="F593" s="74"/>
      <c r="G593" s="74"/>
      <c r="H593" s="74"/>
      <c r="I593" s="74"/>
      <c r="J593" s="74"/>
      <c r="K593" s="74"/>
      <c r="L593" s="74"/>
      <c r="P593" s="74"/>
    </row>
    <row r="594">
      <c r="A594" s="48"/>
      <c r="C594" s="79"/>
      <c r="D594" s="36"/>
      <c r="E594" s="74"/>
      <c r="F594" s="74"/>
      <c r="G594" s="74"/>
      <c r="H594" s="74"/>
      <c r="I594" s="74"/>
      <c r="J594" s="74"/>
      <c r="K594" s="74"/>
      <c r="L594" s="74"/>
      <c r="P594" s="74"/>
    </row>
    <row r="595">
      <c r="A595" s="48"/>
      <c r="C595" s="79"/>
      <c r="D595" s="36"/>
      <c r="E595" s="74"/>
      <c r="F595" s="74"/>
      <c r="G595" s="74"/>
      <c r="H595" s="74"/>
      <c r="I595" s="74"/>
      <c r="J595" s="74"/>
      <c r="K595" s="74"/>
      <c r="L595" s="74"/>
      <c r="P595" s="74"/>
    </row>
    <row r="596">
      <c r="A596" s="48"/>
      <c r="C596" s="79"/>
      <c r="D596" s="36"/>
      <c r="E596" s="74"/>
      <c r="F596" s="74"/>
      <c r="G596" s="74"/>
      <c r="H596" s="74"/>
      <c r="I596" s="74"/>
      <c r="J596" s="74"/>
      <c r="K596" s="74"/>
      <c r="L596" s="74"/>
      <c r="P596" s="74"/>
    </row>
    <row r="597">
      <c r="A597" s="48"/>
      <c r="C597" s="79"/>
      <c r="D597" s="36"/>
      <c r="E597" s="74"/>
      <c r="F597" s="74"/>
      <c r="G597" s="74"/>
      <c r="H597" s="74"/>
      <c r="I597" s="74"/>
      <c r="J597" s="74"/>
      <c r="K597" s="74"/>
      <c r="L597" s="74"/>
      <c r="P597" s="74"/>
    </row>
    <row r="598">
      <c r="A598" s="48"/>
      <c r="C598" s="79"/>
      <c r="D598" s="36"/>
      <c r="E598" s="74"/>
      <c r="F598" s="74"/>
      <c r="G598" s="74"/>
      <c r="H598" s="74"/>
      <c r="I598" s="74"/>
      <c r="J598" s="74"/>
      <c r="K598" s="74"/>
      <c r="L598" s="74"/>
      <c r="P598" s="74"/>
    </row>
    <row r="599">
      <c r="A599" s="48"/>
      <c r="C599" s="79"/>
      <c r="D599" s="36"/>
      <c r="E599" s="74"/>
      <c r="F599" s="74"/>
      <c r="G599" s="74"/>
      <c r="H599" s="74"/>
      <c r="I599" s="74"/>
      <c r="J599" s="74"/>
      <c r="K599" s="74"/>
      <c r="L599" s="74"/>
      <c r="P599" s="74"/>
    </row>
    <row r="600">
      <c r="A600" s="48"/>
      <c r="C600" s="79"/>
      <c r="D600" s="36"/>
      <c r="E600" s="74"/>
      <c r="F600" s="74"/>
      <c r="G600" s="74"/>
      <c r="H600" s="74"/>
      <c r="I600" s="74"/>
      <c r="J600" s="74"/>
      <c r="K600" s="74"/>
      <c r="L600" s="74"/>
      <c r="P600" s="74"/>
    </row>
    <row r="601">
      <c r="A601" s="48"/>
      <c r="C601" s="79"/>
      <c r="D601" s="36"/>
      <c r="E601" s="74"/>
      <c r="F601" s="74"/>
      <c r="G601" s="74"/>
      <c r="H601" s="74"/>
      <c r="I601" s="74"/>
      <c r="J601" s="74"/>
      <c r="K601" s="74"/>
      <c r="L601" s="74"/>
      <c r="P601" s="74"/>
    </row>
    <row r="602">
      <c r="A602" s="48"/>
      <c r="C602" s="79"/>
      <c r="D602" s="36"/>
      <c r="E602" s="74"/>
      <c r="F602" s="74"/>
      <c r="G602" s="74"/>
      <c r="H602" s="74"/>
      <c r="I602" s="74"/>
      <c r="J602" s="74"/>
      <c r="K602" s="74"/>
      <c r="L602" s="74"/>
      <c r="P602" s="74"/>
    </row>
    <row r="603">
      <c r="A603" s="48"/>
      <c r="C603" s="79"/>
      <c r="D603" s="36"/>
      <c r="E603" s="74"/>
      <c r="F603" s="74"/>
      <c r="G603" s="74"/>
      <c r="H603" s="74"/>
      <c r="I603" s="74"/>
      <c r="J603" s="74"/>
      <c r="K603" s="74"/>
      <c r="L603" s="74"/>
      <c r="P603" s="74"/>
    </row>
    <row r="604">
      <c r="A604" s="48"/>
      <c r="C604" s="79"/>
      <c r="D604" s="36"/>
      <c r="E604" s="74"/>
      <c r="F604" s="74"/>
      <c r="G604" s="74"/>
      <c r="H604" s="74"/>
      <c r="I604" s="74"/>
      <c r="J604" s="74"/>
      <c r="K604" s="74"/>
      <c r="L604" s="74"/>
      <c r="P604" s="74"/>
    </row>
    <row r="605">
      <c r="A605" s="48"/>
      <c r="C605" s="79"/>
      <c r="D605" s="36"/>
      <c r="E605" s="74"/>
      <c r="F605" s="74"/>
      <c r="G605" s="74"/>
      <c r="H605" s="74"/>
      <c r="I605" s="74"/>
      <c r="J605" s="74"/>
      <c r="K605" s="74"/>
      <c r="L605" s="74"/>
      <c r="P605" s="74"/>
    </row>
    <row r="606">
      <c r="A606" s="48"/>
      <c r="C606" s="79"/>
      <c r="D606" s="36"/>
      <c r="E606" s="74"/>
      <c r="F606" s="74"/>
      <c r="G606" s="74"/>
      <c r="H606" s="74"/>
      <c r="I606" s="74"/>
      <c r="J606" s="74"/>
      <c r="K606" s="74"/>
      <c r="L606" s="74"/>
      <c r="P606" s="74"/>
    </row>
    <row r="607">
      <c r="A607" s="48"/>
      <c r="C607" s="79"/>
      <c r="D607" s="36"/>
      <c r="E607" s="74"/>
      <c r="F607" s="74"/>
      <c r="G607" s="74"/>
      <c r="H607" s="74"/>
      <c r="I607" s="74"/>
      <c r="J607" s="74"/>
      <c r="K607" s="74"/>
      <c r="L607" s="74"/>
      <c r="P607" s="74"/>
    </row>
    <row r="608">
      <c r="A608" s="48"/>
      <c r="C608" s="79"/>
      <c r="D608" s="36"/>
      <c r="E608" s="74"/>
      <c r="F608" s="74"/>
      <c r="G608" s="74"/>
      <c r="H608" s="74"/>
      <c r="I608" s="74"/>
      <c r="J608" s="74"/>
      <c r="K608" s="74"/>
      <c r="L608" s="74"/>
      <c r="P608" s="74"/>
    </row>
    <row r="609">
      <c r="A609" s="48"/>
      <c r="C609" s="79"/>
      <c r="D609" s="36"/>
      <c r="E609" s="74"/>
      <c r="F609" s="74"/>
      <c r="G609" s="74"/>
      <c r="H609" s="74"/>
      <c r="I609" s="74"/>
      <c r="J609" s="74"/>
      <c r="K609" s="74"/>
      <c r="L609" s="74"/>
      <c r="P609" s="74"/>
    </row>
    <row r="610">
      <c r="A610" s="48"/>
      <c r="C610" s="79"/>
      <c r="D610" s="36"/>
      <c r="E610" s="74"/>
      <c r="F610" s="74"/>
      <c r="G610" s="74"/>
      <c r="H610" s="74"/>
      <c r="I610" s="74"/>
      <c r="J610" s="74"/>
      <c r="K610" s="74"/>
      <c r="L610" s="74"/>
      <c r="P610" s="74"/>
    </row>
    <row r="611">
      <c r="A611" s="48"/>
      <c r="C611" s="79"/>
      <c r="D611" s="36"/>
      <c r="E611" s="74"/>
      <c r="F611" s="74"/>
      <c r="G611" s="74"/>
      <c r="H611" s="74"/>
      <c r="I611" s="74"/>
      <c r="J611" s="74"/>
      <c r="K611" s="74"/>
      <c r="L611" s="74"/>
      <c r="P611" s="74"/>
    </row>
    <row r="612">
      <c r="A612" s="48"/>
      <c r="C612" s="79"/>
      <c r="D612" s="36"/>
      <c r="E612" s="74"/>
      <c r="F612" s="74"/>
      <c r="G612" s="74"/>
      <c r="H612" s="74"/>
      <c r="I612" s="74"/>
      <c r="J612" s="74"/>
      <c r="K612" s="74"/>
      <c r="L612" s="74"/>
      <c r="P612" s="74"/>
    </row>
    <row r="613">
      <c r="A613" s="48"/>
      <c r="C613" s="79"/>
      <c r="D613" s="36"/>
      <c r="E613" s="74"/>
      <c r="F613" s="74"/>
      <c r="G613" s="74"/>
      <c r="H613" s="74"/>
      <c r="I613" s="74"/>
      <c r="J613" s="74"/>
      <c r="K613" s="74"/>
      <c r="L613" s="74"/>
      <c r="P613" s="74"/>
    </row>
    <row r="614">
      <c r="A614" s="48"/>
      <c r="C614" s="79"/>
      <c r="D614" s="36"/>
      <c r="E614" s="74"/>
      <c r="F614" s="74"/>
      <c r="G614" s="74"/>
      <c r="H614" s="74"/>
      <c r="I614" s="74"/>
      <c r="J614" s="74"/>
      <c r="K614" s="74"/>
      <c r="L614" s="74"/>
      <c r="P614" s="74"/>
    </row>
    <row r="615">
      <c r="A615" s="48"/>
      <c r="C615" s="79"/>
      <c r="D615" s="36"/>
      <c r="E615" s="74"/>
      <c r="F615" s="74"/>
      <c r="G615" s="74"/>
      <c r="H615" s="74"/>
      <c r="I615" s="74"/>
      <c r="J615" s="74"/>
      <c r="K615" s="74"/>
      <c r="L615" s="74"/>
      <c r="P615" s="74"/>
    </row>
    <row r="616">
      <c r="A616" s="48"/>
      <c r="C616" s="79"/>
      <c r="D616" s="36"/>
      <c r="E616" s="74"/>
      <c r="F616" s="74"/>
      <c r="G616" s="74"/>
      <c r="H616" s="74"/>
      <c r="I616" s="74"/>
      <c r="J616" s="74"/>
      <c r="K616" s="74"/>
      <c r="L616" s="74"/>
      <c r="P616" s="74"/>
    </row>
    <row r="617">
      <c r="A617" s="48"/>
      <c r="C617" s="79"/>
      <c r="D617" s="36"/>
      <c r="E617" s="74"/>
      <c r="F617" s="74"/>
      <c r="G617" s="74"/>
      <c r="H617" s="74"/>
      <c r="I617" s="74"/>
      <c r="J617" s="74"/>
      <c r="K617" s="74"/>
      <c r="L617" s="74"/>
      <c r="P617" s="74"/>
    </row>
    <row r="618">
      <c r="A618" s="48"/>
      <c r="C618" s="79"/>
      <c r="D618" s="36"/>
      <c r="E618" s="74"/>
      <c r="F618" s="74"/>
      <c r="G618" s="74"/>
      <c r="H618" s="74"/>
      <c r="I618" s="74"/>
      <c r="J618" s="74"/>
      <c r="K618" s="74"/>
      <c r="L618" s="74"/>
      <c r="P618" s="74"/>
    </row>
    <row r="619">
      <c r="A619" s="48"/>
      <c r="C619" s="79"/>
      <c r="D619" s="36"/>
      <c r="E619" s="74"/>
      <c r="F619" s="74"/>
      <c r="G619" s="74"/>
      <c r="H619" s="74"/>
      <c r="I619" s="74"/>
      <c r="J619" s="74"/>
      <c r="K619" s="74"/>
      <c r="L619" s="74"/>
      <c r="P619" s="74"/>
    </row>
    <row r="620">
      <c r="A620" s="48"/>
      <c r="C620" s="79"/>
      <c r="D620" s="36"/>
      <c r="E620" s="74"/>
      <c r="F620" s="74"/>
      <c r="G620" s="74"/>
      <c r="H620" s="74"/>
      <c r="I620" s="74"/>
      <c r="J620" s="74"/>
      <c r="K620" s="74"/>
      <c r="L620" s="74"/>
      <c r="P620" s="74"/>
    </row>
    <row r="621">
      <c r="A621" s="48"/>
      <c r="C621" s="79"/>
      <c r="D621" s="36"/>
      <c r="E621" s="74"/>
      <c r="F621" s="74"/>
      <c r="G621" s="74"/>
      <c r="H621" s="74"/>
      <c r="I621" s="74"/>
      <c r="J621" s="74"/>
      <c r="K621" s="74"/>
      <c r="L621" s="74"/>
      <c r="P621" s="74"/>
    </row>
    <row r="622">
      <c r="A622" s="48"/>
      <c r="C622" s="79"/>
      <c r="D622" s="36"/>
      <c r="E622" s="74"/>
      <c r="F622" s="74"/>
      <c r="G622" s="74"/>
      <c r="H622" s="74"/>
      <c r="I622" s="74"/>
      <c r="J622" s="74"/>
      <c r="K622" s="74"/>
      <c r="L622" s="74"/>
      <c r="P622" s="74"/>
    </row>
    <row r="623">
      <c r="A623" s="48"/>
      <c r="C623" s="79"/>
      <c r="D623" s="36"/>
      <c r="E623" s="74"/>
      <c r="F623" s="74"/>
      <c r="G623" s="74"/>
      <c r="H623" s="74"/>
      <c r="I623" s="74"/>
      <c r="J623" s="74"/>
      <c r="K623" s="74"/>
      <c r="L623" s="74"/>
      <c r="P623" s="74"/>
    </row>
    <row r="624">
      <c r="A624" s="48"/>
      <c r="C624" s="79"/>
      <c r="D624" s="36"/>
      <c r="E624" s="74"/>
      <c r="F624" s="74"/>
      <c r="G624" s="74"/>
      <c r="H624" s="74"/>
      <c r="I624" s="74"/>
      <c r="J624" s="74"/>
      <c r="K624" s="74"/>
      <c r="L624" s="74"/>
      <c r="P624" s="74"/>
    </row>
    <row r="625">
      <c r="A625" s="48"/>
      <c r="C625" s="79"/>
      <c r="D625" s="36"/>
      <c r="E625" s="74"/>
      <c r="F625" s="74"/>
      <c r="G625" s="74"/>
      <c r="H625" s="74"/>
      <c r="I625" s="74"/>
      <c r="J625" s="74"/>
      <c r="K625" s="74"/>
      <c r="L625" s="74"/>
      <c r="P625" s="74"/>
    </row>
    <row r="626">
      <c r="A626" s="48"/>
      <c r="C626" s="79"/>
      <c r="D626" s="36"/>
      <c r="E626" s="74"/>
      <c r="F626" s="74"/>
      <c r="G626" s="74"/>
      <c r="H626" s="74"/>
      <c r="I626" s="74"/>
      <c r="J626" s="74"/>
      <c r="K626" s="74"/>
      <c r="L626" s="74"/>
      <c r="P626" s="74"/>
    </row>
    <row r="627">
      <c r="A627" s="48"/>
      <c r="C627" s="79"/>
      <c r="D627" s="36"/>
      <c r="E627" s="74"/>
      <c r="F627" s="74"/>
      <c r="G627" s="74"/>
      <c r="H627" s="74"/>
      <c r="I627" s="74"/>
      <c r="J627" s="74"/>
      <c r="K627" s="74"/>
      <c r="L627" s="74"/>
      <c r="P627" s="74"/>
    </row>
    <row r="628">
      <c r="A628" s="48"/>
      <c r="C628" s="79"/>
      <c r="D628" s="36"/>
      <c r="E628" s="74"/>
      <c r="F628" s="74"/>
      <c r="G628" s="74"/>
      <c r="H628" s="74"/>
      <c r="I628" s="74"/>
      <c r="J628" s="74"/>
      <c r="K628" s="74"/>
      <c r="L628" s="74"/>
      <c r="P628" s="74"/>
    </row>
    <row r="629">
      <c r="A629" s="48"/>
      <c r="C629" s="79"/>
      <c r="D629" s="36"/>
      <c r="E629" s="74"/>
      <c r="F629" s="74"/>
      <c r="G629" s="74"/>
      <c r="H629" s="74"/>
      <c r="I629" s="74"/>
      <c r="J629" s="74"/>
      <c r="K629" s="74"/>
      <c r="L629" s="74"/>
      <c r="P629" s="74"/>
    </row>
    <row r="630">
      <c r="A630" s="48"/>
      <c r="C630" s="79"/>
      <c r="D630" s="36"/>
      <c r="E630" s="74"/>
      <c r="F630" s="74"/>
      <c r="G630" s="74"/>
      <c r="H630" s="74"/>
      <c r="I630" s="74"/>
      <c r="J630" s="74"/>
      <c r="K630" s="74"/>
      <c r="L630" s="74"/>
      <c r="P630" s="74"/>
    </row>
    <row r="631">
      <c r="A631" s="48"/>
      <c r="C631" s="79"/>
      <c r="D631" s="36"/>
      <c r="E631" s="74"/>
      <c r="F631" s="74"/>
      <c r="G631" s="74"/>
      <c r="H631" s="74"/>
      <c r="I631" s="74"/>
      <c r="J631" s="74"/>
      <c r="K631" s="74"/>
      <c r="L631" s="74"/>
      <c r="P631" s="74"/>
    </row>
    <row r="632">
      <c r="A632" s="48"/>
      <c r="C632" s="79"/>
      <c r="D632" s="36"/>
      <c r="E632" s="74"/>
      <c r="F632" s="74"/>
      <c r="G632" s="74"/>
      <c r="H632" s="74"/>
      <c r="I632" s="74"/>
      <c r="J632" s="74"/>
      <c r="K632" s="74"/>
      <c r="L632" s="74"/>
      <c r="P632" s="74"/>
    </row>
    <row r="633">
      <c r="A633" s="48"/>
      <c r="C633" s="79"/>
      <c r="D633" s="36"/>
      <c r="E633" s="74"/>
      <c r="F633" s="74"/>
      <c r="G633" s="74"/>
      <c r="H633" s="74"/>
      <c r="I633" s="74"/>
      <c r="J633" s="74"/>
      <c r="K633" s="74"/>
      <c r="L633" s="74"/>
      <c r="P633" s="74"/>
    </row>
    <row r="634">
      <c r="A634" s="48"/>
      <c r="C634" s="79"/>
      <c r="D634" s="36"/>
      <c r="E634" s="74"/>
      <c r="F634" s="74"/>
      <c r="G634" s="74"/>
      <c r="H634" s="74"/>
      <c r="I634" s="74"/>
      <c r="J634" s="74"/>
      <c r="K634" s="74"/>
      <c r="L634" s="74"/>
      <c r="P634" s="74"/>
    </row>
    <row r="635">
      <c r="A635" s="48"/>
      <c r="C635" s="79"/>
      <c r="D635" s="36"/>
      <c r="E635" s="74"/>
      <c r="F635" s="74"/>
      <c r="G635" s="74"/>
      <c r="H635" s="74"/>
      <c r="I635" s="74"/>
      <c r="J635" s="74"/>
      <c r="K635" s="74"/>
      <c r="L635" s="74"/>
      <c r="P635" s="74"/>
    </row>
    <row r="636">
      <c r="A636" s="48"/>
      <c r="C636" s="79"/>
      <c r="D636" s="36"/>
      <c r="E636" s="74"/>
      <c r="F636" s="74"/>
      <c r="G636" s="74"/>
      <c r="H636" s="74"/>
      <c r="I636" s="74"/>
      <c r="J636" s="74"/>
      <c r="K636" s="74"/>
      <c r="L636" s="74"/>
      <c r="P636" s="74"/>
    </row>
    <row r="637">
      <c r="A637" s="48"/>
      <c r="C637" s="79"/>
      <c r="D637" s="36"/>
      <c r="E637" s="74"/>
      <c r="F637" s="74"/>
      <c r="G637" s="74"/>
      <c r="H637" s="74"/>
      <c r="I637" s="74"/>
      <c r="J637" s="74"/>
      <c r="K637" s="74"/>
      <c r="L637" s="74"/>
      <c r="P637" s="74"/>
    </row>
    <row r="638">
      <c r="A638" s="48"/>
      <c r="C638" s="79"/>
      <c r="D638" s="36"/>
      <c r="E638" s="74"/>
      <c r="F638" s="74"/>
      <c r="G638" s="74"/>
      <c r="H638" s="74"/>
      <c r="I638" s="74"/>
      <c r="J638" s="74"/>
      <c r="K638" s="74"/>
      <c r="L638" s="74"/>
      <c r="P638" s="74"/>
    </row>
    <row r="639">
      <c r="A639" s="48"/>
      <c r="C639" s="79"/>
      <c r="D639" s="36"/>
      <c r="E639" s="74"/>
      <c r="F639" s="74"/>
      <c r="G639" s="74"/>
      <c r="H639" s="74"/>
      <c r="I639" s="74"/>
      <c r="J639" s="74"/>
      <c r="K639" s="74"/>
      <c r="L639" s="74"/>
      <c r="P639" s="74"/>
    </row>
    <row r="640">
      <c r="A640" s="48"/>
      <c r="C640" s="79"/>
      <c r="D640" s="36"/>
      <c r="E640" s="74"/>
      <c r="F640" s="74"/>
      <c r="G640" s="74"/>
      <c r="H640" s="74"/>
      <c r="I640" s="74"/>
      <c r="J640" s="74"/>
      <c r="K640" s="74"/>
      <c r="L640" s="74"/>
      <c r="P640" s="74"/>
    </row>
    <row r="641">
      <c r="A641" s="48"/>
      <c r="C641" s="79"/>
      <c r="D641" s="36"/>
      <c r="E641" s="74"/>
      <c r="F641" s="74"/>
      <c r="G641" s="74"/>
      <c r="H641" s="74"/>
      <c r="I641" s="74"/>
      <c r="J641" s="74"/>
      <c r="K641" s="74"/>
      <c r="L641" s="74"/>
      <c r="P641" s="74"/>
    </row>
    <row r="642">
      <c r="A642" s="48"/>
      <c r="C642" s="79"/>
      <c r="D642" s="36"/>
      <c r="E642" s="74"/>
      <c r="F642" s="74"/>
      <c r="G642" s="74"/>
      <c r="H642" s="74"/>
      <c r="I642" s="74"/>
      <c r="J642" s="74"/>
      <c r="K642" s="74"/>
      <c r="L642" s="74"/>
      <c r="P642" s="74"/>
    </row>
    <row r="643">
      <c r="A643" s="48"/>
      <c r="C643" s="79"/>
      <c r="D643" s="36"/>
      <c r="E643" s="74"/>
      <c r="F643" s="74"/>
      <c r="G643" s="74"/>
      <c r="H643" s="74"/>
      <c r="I643" s="74"/>
      <c r="J643" s="74"/>
      <c r="K643" s="74"/>
      <c r="L643" s="74"/>
      <c r="P643" s="74"/>
    </row>
    <row r="644">
      <c r="A644" s="48"/>
      <c r="C644" s="79"/>
      <c r="D644" s="36"/>
      <c r="E644" s="74"/>
      <c r="F644" s="74"/>
      <c r="G644" s="74"/>
      <c r="H644" s="74"/>
      <c r="I644" s="74"/>
      <c r="J644" s="74"/>
      <c r="K644" s="74"/>
      <c r="L644" s="74"/>
      <c r="P644" s="74"/>
    </row>
    <row r="645">
      <c r="A645" s="48"/>
      <c r="C645" s="79"/>
      <c r="D645" s="36"/>
      <c r="E645" s="74"/>
      <c r="F645" s="74"/>
      <c r="G645" s="74"/>
      <c r="H645" s="74"/>
      <c r="I645" s="74"/>
      <c r="J645" s="74"/>
      <c r="K645" s="74"/>
      <c r="L645" s="74"/>
      <c r="P645" s="74"/>
    </row>
    <row r="646">
      <c r="A646" s="48"/>
      <c r="C646" s="79"/>
      <c r="D646" s="36"/>
      <c r="E646" s="74"/>
      <c r="F646" s="74"/>
      <c r="G646" s="74"/>
      <c r="H646" s="74"/>
      <c r="I646" s="74"/>
      <c r="J646" s="74"/>
      <c r="K646" s="74"/>
      <c r="L646" s="74"/>
      <c r="P646" s="74"/>
    </row>
    <row r="647">
      <c r="A647" s="48"/>
      <c r="C647" s="79"/>
      <c r="D647" s="36"/>
      <c r="E647" s="74"/>
      <c r="F647" s="74"/>
      <c r="G647" s="74"/>
      <c r="H647" s="74"/>
      <c r="I647" s="74"/>
      <c r="J647" s="74"/>
      <c r="K647" s="74"/>
      <c r="L647" s="74"/>
      <c r="P647" s="74"/>
    </row>
    <row r="648">
      <c r="A648" s="48"/>
      <c r="C648" s="79"/>
      <c r="D648" s="36"/>
      <c r="E648" s="74"/>
      <c r="F648" s="74"/>
      <c r="G648" s="74"/>
      <c r="H648" s="74"/>
      <c r="I648" s="74"/>
      <c r="J648" s="74"/>
      <c r="K648" s="74"/>
      <c r="L648" s="74"/>
      <c r="P648" s="74"/>
    </row>
    <row r="649">
      <c r="A649" s="48"/>
      <c r="C649" s="79"/>
      <c r="D649" s="36"/>
      <c r="E649" s="74"/>
      <c r="F649" s="74"/>
      <c r="G649" s="74"/>
      <c r="H649" s="74"/>
      <c r="I649" s="74"/>
      <c r="J649" s="74"/>
      <c r="K649" s="74"/>
      <c r="L649" s="74"/>
      <c r="P649" s="74"/>
    </row>
    <row r="650">
      <c r="A650" s="48"/>
      <c r="C650" s="79"/>
      <c r="D650" s="36"/>
      <c r="E650" s="74"/>
      <c r="F650" s="74"/>
      <c r="G650" s="74"/>
      <c r="H650" s="74"/>
      <c r="I650" s="74"/>
      <c r="J650" s="74"/>
      <c r="K650" s="74"/>
      <c r="L650" s="74"/>
      <c r="P650" s="74"/>
    </row>
    <row r="651">
      <c r="A651" s="48"/>
      <c r="C651" s="79"/>
      <c r="D651" s="36"/>
      <c r="E651" s="74"/>
      <c r="F651" s="74"/>
      <c r="G651" s="74"/>
      <c r="H651" s="74"/>
      <c r="I651" s="74"/>
      <c r="J651" s="74"/>
      <c r="K651" s="74"/>
      <c r="L651" s="74"/>
      <c r="P651" s="74"/>
    </row>
    <row r="652">
      <c r="A652" s="48"/>
      <c r="C652" s="79"/>
      <c r="D652" s="36"/>
      <c r="E652" s="74"/>
      <c r="F652" s="74"/>
      <c r="G652" s="74"/>
      <c r="H652" s="74"/>
      <c r="I652" s="74"/>
      <c r="J652" s="74"/>
      <c r="K652" s="74"/>
      <c r="L652" s="74"/>
      <c r="P652" s="74"/>
    </row>
    <row r="653">
      <c r="A653" s="48"/>
      <c r="C653" s="79"/>
      <c r="D653" s="36"/>
      <c r="E653" s="74"/>
      <c r="F653" s="74"/>
      <c r="G653" s="74"/>
      <c r="H653" s="74"/>
      <c r="I653" s="74"/>
      <c r="J653" s="74"/>
      <c r="K653" s="74"/>
      <c r="L653" s="74"/>
      <c r="P653" s="74"/>
    </row>
    <row r="654">
      <c r="A654" s="48"/>
      <c r="C654" s="79"/>
      <c r="D654" s="36"/>
      <c r="E654" s="74"/>
      <c r="F654" s="74"/>
      <c r="G654" s="74"/>
      <c r="H654" s="74"/>
      <c r="I654" s="74"/>
      <c r="J654" s="74"/>
      <c r="K654" s="74"/>
      <c r="L654" s="74"/>
      <c r="P654" s="74"/>
    </row>
    <row r="655">
      <c r="A655" s="48"/>
      <c r="C655" s="79"/>
      <c r="D655" s="36"/>
      <c r="E655" s="74"/>
      <c r="F655" s="74"/>
      <c r="G655" s="74"/>
      <c r="H655" s="74"/>
      <c r="I655" s="74"/>
      <c r="J655" s="74"/>
      <c r="K655" s="74"/>
      <c r="L655" s="74"/>
      <c r="P655" s="74"/>
    </row>
    <row r="656">
      <c r="A656" s="48"/>
      <c r="C656" s="79"/>
      <c r="D656" s="36"/>
      <c r="E656" s="74"/>
      <c r="F656" s="74"/>
      <c r="G656" s="74"/>
      <c r="H656" s="74"/>
      <c r="I656" s="74"/>
      <c r="J656" s="74"/>
      <c r="K656" s="74"/>
      <c r="L656" s="74"/>
      <c r="P656" s="74"/>
    </row>
    <row r="657">
      <c r="A657" s="48"/>
      <c r="C657" s="79"/>
      <c r="D657" s="36"/>
      <c r="E657" s="74"/>
      <c r="F657" s="74"/>
      <c r="G657" s="74"/>
      <c r="H657" s="74"/>
      <c r="I657" s="74"/>
      <c r="J657" s="74"/>
      <c r="K657" s="74"/>
      <c r="L657" s="74"/>
      <c r="P657" s="74"/>
    </row>
    <row r="658">
      <c r="A658" s="48"/>
      <c r="C658" s="79"/>
      <c r="D658" s="36"/>
      <c r="E658" s="74"/>
      <c r="F658" s="74"/>
      <c r="G658" s="74"/>
      <c r="H658" s="74"/>
      <c r="I658" s="74"/>
      <c r="J658" s="74"/>
      <c r="K658" s="74"/>
      <c r="L658" s="74"/>
      <c r="P658" s="74"/>
    </row>
    <row r="659">
      <c r="A659" s="48"/>
      <c r="C659" s="79"/>
      <c r="D659" s="36"/>
      <c r="E659" s="74"/>
      <c r="F659" s="74"/>
      <c r="G659" s="74"/>
      <c r="H659" s="74"/>
      <c r="I659" s="74"/>
      <c r="J659" s="74"/>
      <c r="K659" s="74"/>
      <c r="L659" s="74"/>
      <c r="P659" s="74"/>
    </row>
    <row r="660">
      <c r="A660" s="48"/>
      <c r="C660" s="79"/>
      <c r="D660" s="36"/>
      <c r="E660" s="74"/>
      <c r="F660" s="74"/>
      <c r="G660" s="74"/>
      <c r="H660" s="74"/>
      <c r="I660" s="74"/>
      <c r="J660" s="74"/>
      <c r="K660" s="74"/>
      <c r="L660" s="74"/>
      <c r="P660" s="74"/>
    </row>
    <row r="661">
      <c r="A661" s="48"/>
      <c r="C661" s="79"/>
      <c r="D661" s="36"/>
      <c r="E661" s="74"/>
      <c r="F661" s="74"/>
      <c r="G661" s="74"/>
      <c r="H661" s="74"/>
      <c r="I661" s="74"/>
      <c r="J661" s="74"/>
      <c r="K661" s="74"/>
      <c r="L661" s="74"/>
      <c r="P661" s="74"/>
    </row>
    <row r="662">
      <c r="A662" s="48"/>
      <c r="C662" s="79"/>
      <c r="D662" s="36"/>
      <c r="E662" s="74"/>
      <c r="F662" s="74"/>
      <c r="G662" s="74"/>
      <c r="H662" s="74"/>
      <c r="I662" s="74"/>
      <c r="J662" s="74"/>
      <c r="K662" s="74"/>
      <c r="L662" s="74"/>
      <c r="P662" s="74"/>
    </row>
    <row r="663">
      <c r="A663" s="48"/>
      <c r="C663" s="79"/>
      <c r="D663" s="36"/>
      <c r="E663" s="74"/>
      <c r="F663" s="74"/>
      <c r="G663" s="74"/>
      <c r="H663" s="74"/>
      <c r="I663" s="74"/>
      <c r="J663" s="74"/>
      <c r="K663" s="74"/>
      <c r="L663" s="74"/>
      <c r="P663" s="74"/>
    </row>
    <row r="664">
      <c r="A664" s="48"/>
      <c r="C664" s="79"/>
      <c r="D664" s="36"/>
      <c r="E664" s="74"/>
      <c r="F664" s="74"/>
      <c r="G664" s="74"/>
      <c r="H664" s="74"/>
      <c r="I664" s="74"/>
      <c r="J664" s="74"/>
      <c r="K664" s="74"/>
      <c r="L664" s="74"/>
      <c r="P664" s="74"/>
    </row>
    <row r="665">
      <c r="A665" s="48"/>
      <c r="C665" s="79"/>
      <c r="D665" s="36"/>
      <c r="E665" s="74"/>
      <c r="F665" s="74"/>
      <c r="G665" s="74"/>
      <c r="H665" s="74"/>
      <c r="I665" s="74"/>
      <c r="J665" s="74"/>
      <c r="K665" s="74"/>
      <c r="L665" s="74"/>
      <c r="P665" s="74"/>
    </row>
    <row r="666">
      <c r="A666" s="48"/>
      <c r="C666" s="79"/>
      <c r="D666" s="36"/>
      <c r="E666" s="74"/>
      <c r="F666" s="74"/>
      <c r="G666" s="74"/>
      <c r="H666" s="74"/>
      <c r="I666" s="74"/>
      <c r="J666" s="74"/>
      <c r="K666" s="74"/>
      <c r="L666" s="74"/>
      <c r="P666" s="74"/>
    </row>
    <row r="667">
      <c r="A667" s="48"/>
      <c r="C667" s="79"/>
      <c r="D667" s="36"/>
      <c r="E667" s="74"/>
      <c r="F667" s="74"/>
      <c r="G667" s="74"/>
      <c r="H667" s="74"/>
      <c r="I667" s="74"/>
      <c r="J667" s="74"/>
      <c r="K667" s="74"/>
      <c r="L667" s="74"/>
      <c r="P667" s="74"/>
    </row>
    <row r="668">
      <c r="A668" s="48"/>
      <c r="C668" s="79"/>
      <c r="D668" s="36"/>
      <c r="E668" s="74"/>
      <c r="F668" s="74"/>
      <c r="G668" s="74"/>
      <c r="H668" s="74"/>
      <c r="I668" s="74"/>
      <c r="J668" s="74"/>
      <c r="K668" s="74"/>
      <c r="L668" s="74"/>
      <c r="P668" s="74"/>
    </row>
    <row r="669">
      <c r="A669" s="48"/>
      <c r="C669" s="79"/>
      <c r="D669" s="36"/>
      <c r="E669" s="74"/>
      <c r="F669" s="74"/>
      <c r="G669" s="74"/>
      <c r="H669" s="74"/>
      <c r="I669" s="74"/>
      <c r="J669" s="74"/>
      <c r="K669" s="74"/>
      <c r="L669" s="74"/>
      <c r="P669" s="74"/>
    </row>
    <row r="670">
      <c r="A670" s="48"/>
      <c r="C670" s="79"/>
      <c r="D670" s="36"/>
      <c r="E670" s="74"/>
      <c r="F670" s="74"/>
      <c r="G670" s="74"/>
      <c r="H670" s="74"/>
      <c r="I670" s="74"/>
      <c r="J670" s="74"/>
      <c r="K670" s="74"/>
      <c r="L670" s="74"/>
      <c r="P670" s="74"/>
    </row>
    <row r="671">
      <c r="A671" s="48"/>
      <c r="C671" s="79"/>
      <c r="D671" s="36"/>
      <c r="E671" s="74"/>
      <c r="F671" s="74"/>
      <c r="G671" s="74"/>
      <c r="H671" s="74"/>
      <c r="I671" s="74"/>
      <c r="J671" s="74"/>
      <c r="K671" s="74"/>
      <c r="L671" s="74"/>
      <c r="P671" s="74"/>
    </row>
    <row r="672">
      <c r="A672" s="48"/>
      <c r="C672" s="79"/>
      <c r="D672" s="36"/>
      <c r="E672" s="74"/>
      <c r="F672" s="74"/>
      <c r="G672" s="74"/>
      <c r="H672" s="74"/>
      <c r="I672" s="74"/>
      <c r="J672" s="74"/>
      <c r="K672" s="74"/>
      <c r="L672" s="74"/>
      <c r="P672" s="74"/>
    </row>
    <row r="673">
      <c r="A673" s="48"/>
      <c r="C673" s="79"/>
      <c r="D673" s="36"/>
      <c r="E673" s="74"/>
      <c r="F673" s="74"/>
      <c r="G673" s="74"/>
      <c r="H673" s="74"/>
      <c r="I673" s="74"/>
      <c r="J673" s="74"/>
      <c r="K673" s="74"/>
      <c r="L673" s="74"/>
      <c r="P673" s="74"/>
    </row>
    <row r="674">
      <c r="A674" s="48"/>
      <c r="C674" s="79"/>
      <c r="D674" s="36"/>
      <c r="E674" s="74"/>
      <c r="F674" s="74"/>
      <c r="G674" s="74"/>
      <c r="H674" s="74"/>
      <c r="I674" s="74"/>
      <c r="J674" s="74"/>
      <c r="K674" s="74"/>
      <c r="L674" s="74"/>
      <c r="P674" s="74"/>
    </row>
    <row r="675">
      <c r="A675" s="48"/>
      <c r="C675" s="79"/>
      <c r="D675" s="36"/>
      <c r="E675" s="74"/>
      <c r="F675" s="74"/>
      <c r="G675" s="74"/>
      <c r="H675" s="74"/>
      <c r="I675" s="74"/>
      <c r="J675" s="74"/>
      <c r="K675" s="74"/>
      <c r="L675" s="74"/>
      <c r="P675" s="74"/>
    </row>
    <row r="676">
      <c r="A676" s="48"/>
      <c r="C676" s="79"/>
      <c r="D676" s="36"/>
      <c r="E676" s="74"/>
      <c r="F676" s="74"/>
      <c r="G676" s="74"/>
      <c r="H676" s="74"/>
      <c r="I676" s="74"/>
      <c r="J676" s="74"/>
      <c r="K676" s="74"/>
      <c r="L676" s="74"/>
      <c r="P676" s="74"/>
    </row>
    <row r="677">
      <c r="A677" s="48"/>
      <c r="C677" s="79"/>
      <c r="D677" s="36"/>
      <c r="E677" s="74"/>
      <c r="F677" s="74"/>
      <c r="G677" s="74"/>
      <c r="H677" s="74"/>
      <c r="I677" s="74"/>
      <c r="J677" s="74"/>
      <c r="K677" s="74"/>
      <c r="L677" s="74"/>
      <c r="P677" s="74"/>
    </row>
    <row r="678">
      <c r="A678" s="48"/>
      <c r="C678" s="79"/>
      <c r="D678" s="36"/>
      <c r="E678" s="74"/>
      <c r="F678" s="74"/>
      <c r="G678" s="74"/>
      <c r="H678" s="74"/>
      <c r="I678" s="74"/>
      <c r="J678" s="74"/>
      <c r="K678" s="74"/>
      <c r="L678" s="74"/>
      <c r="P678" s="74"/>
    </row>
    <row r="679">
      <c r="A679" s="48"/>
      <c r="C679" s="79"/>
      <c r="D679" s="36"/>
      <c r="E679" s="74"/>
      <c r="F679" s="74"/>
      <c r="G679" s="74"/>
      <c r="H679" s="74"/>
      <c r="I679" s="74"/>
      <c r="J679" s="74"/>
      <c r="K679" s="74"/>
      <c r="L679" s="74"/>
      <c r="P679" s="74"/>
    </row>
    <row r="680">
      <c r="A680" s="48"/>
      <c r="C680" s="79"/>
      <c r="D680" s="36"/>
      <c r="E680" s="74"/>
      <c r="F680" s="74"/>
      <c r="G680" s="74"/>
      <c r="H680" s="74"/>
      <c r="I680" s="74"/>
      <c r="J680" s="74"/>
      <c r="K680" s="74"/>
      <c r="L680" s="74"/>
      <c r="P680" s="74"/>
    </row>
    <row r="681">
      <c r="A681" s="48"/>
      <c r="C681" s="79"/>
      <c r="D681" s="36"/>
      <c r="E681" s="74"/>
      <c r="F681" s="74"/>
      <c r="G681" s="74"/>
      <c r="H681" s="74"/>
      <c r="I681" s="74"/>
      <c r="J681" s="74"/>
      <c r="K681" s="74"/>
      <c r="L681" s="74"/>
      <c r="P681" s="74"/>
    </row>
    <row r="682">
      <c r="A682" s="48"/>
      <c r="C682" s="79"/>
      <c r="D682" s="36"/>
      <c r="E682" s="74"/>
      <c r="F682" s="74"/>
      <c r="G682" s="74"/>
      <c r="H682" s="74"/>
      <c r="I682" s="74"/>
      <c r="J682" s="74"/>
      <c r="K682" s="74"/>
      <c r="L682" s="74"/>
      <c r="P682" s="74"/>
    </row>
    <row r="683">
      <c r="A683" s="48"/>
      <c r="C683" s="79"/>
      <c r="D683" s="36"/>
      <c r="E683" s="74"/>
      <c r="F683" s="74"/>
      <c r="G683" s="74"/>
      <c r="H683" s="74"/>
      <c r="I683" s="74"/>
      <c r="J683" s="74"/>
      <c r="K683" s="74"/>
      <c r="L683" s="74"/>
      <c r="P683" s="74"/>
    </row>
    <row r="684">
      <c r="A684" s="48"/>
      <c r="C684" s="79"/>
      <c r="D684" s="36"/>
      <c r="E684" s="74"/>
      <c r="F684" s="74"/>
      <c r="G684" s="74"/>
      <c r="H684" s="74"/>
      <c r="I684" s="74"/>
      <c r="J684" s="74"/>
      <c r="K684" s="74"/>
      <c r="L684" s="74"/>
      <c r="P684" s="74"/>
    </row>
    <row r="685">
      <c r="A685" s="48"/>
      <c r="C685" s="79"/>
      <c r="D685" s="36"/>
      <c r="E685" s="74"/>
      <c r="F685" s="74"/>
      <c r="G685" s="74"/>
      <c r="H685" s="74"/>
      <c r="I685" s="74"/>
      <c r="J685" s="74"/>
      <c r="K685" s="74"/>
      <c r="L685" s="74"/>
      <c r="P685" s="74"/>
    </row>
    <row r="686">
      <c r="A686" s="48"/>
      <c r="C686" s="79"/>
      <c r="D686" s="36"/>
      <c r="E686" s="74"/>
      <c r="F686" s="74"/>
      <c r="G686" s="74"/>
      <c r="H686" s="74"/>
      <c r="I686" s="74"/>
      <c r="J686" s="74"/>
      <c r="K686" s="74"/>
      <c r="L686" s="74"/>
      <c r="P686" s="74"/>
    </row>
    <row r="687">
      <c r="A687" s="48"/>
      <c r="C687" s="79"/>
      <c r="D687" s="36"/>
      <c r="E687" s="74"/>
      <c r="F687" s="74"/>
      <c r="G687" s="74"/>
      <c r="H687" s="74"/>
      <c r="I687" s="74"/>
      <c r="J687" s="74"/>
      <c r="K687" s="74"/>
      <c r="L687" s="74"/>
      <c r="P687" s="74"/>
    </row>
    <row r="688">
      <c r="A688" s="48"/>
      <c r="C688" s="79"/>
      <c r="D688" s="36"/>
      <c r="E688" s="74"/>
      <c r="F688" s="74"/>
      <c r="G688" s="74"/>
      <c r="H688" s="74"/>
      <c r="I688" s="74"/>
      <c r="J688" s="74"/>
      <c r="K688" s="74"/>
      <c r="L688" s="74"/>
      <c r="P688" s="74"/>
    </row>
    <row r="689">
      <c r="A689" s="48"/>
      <c r="C689" s="79"/>
      <c r="D689" s="36"/>
      <c r="E689" s="74"/>
      <c r="F689" s="74"/>
      <c r="G689" s="74"/>
      <c r="H689" s="74"/>
      <c r="I689" s="74"/>
      <c r="J689" s="74"/>
      <c r="K689" s="74"/>
      <c r="L689" s="74"/>
      <c r="P689" s="74"/>
    </row>
    <row r="690">
      <c r="A690" s="48"/>
      <c r="C690" s="79"/>
      <c r="D690" s="36"/>
      <c r="E690" s="74"/>
      <c r="F690" s="74"/>
      <c r="G690" s="74"/>
      <c r="H690" s="74"/>
      <c r="I690" s="74"/>
      <c r="J690" s="74"/>
      <c r="K690" s="74"/>
      <c r="L690" s="74"/>
      <c r="P690" s="74"/>
    </row>
    <row r="691">
      <c r="A691" s="48"/>
      <c r="C691" s="79"/>
      <c r="D691" s="36"/>
      <c r="E691" s="74"/>
      <c r="F691" s="74"/>
      <c r="G691" s="74"/>
      <c r="H691" s="74"/>
      <c r="I691" s="74"/>
      <c r="J691" s="74"/>
      <c r="K691" s="74"/>
      <c r="L691" s="74"/>
      <c r="P691" s="74"/>
    </row>
    <row r="692">
      <c r="A692" s="48"/>
      <c r="C692" s="79"/>
      <c r="D692" s="36"/>
      <c r="E692" s="74"/>
      <c r="F692" s="74"/>
      <c r="G692" s="74"/>
      <c r="H692" s="74"/>
      <c r="I692" s="74"/>
      <c r="J692" s="74"/>
      <c r="K692" s="74"/>
      <c r="L692" s="74"/>
      <c r="P692" s="74"/>
    </row>
    <row r="693">
      <c r="A693" s="48"/>
      <c r="C693" s="79"/>
      <c r="D693" s="36"/>
      <c r="E693" s="74"/>
      <c r="F693" s="74"/>
      <c r="G693" s="74"/>
      <c r="H693" s="74"/>
      <c r="I693" s="74"/>
      <c r="J693" s="74"/>
      <c r="K693" s="74"/>
      <c r="L693" s="74"/>
      <c r="P693" s="74"/>
    </row>
    <row r="694">
      <c r="A694" s="48"/>
      <c r="C694" s="79"/>
      <c r="D694" s="36"/>
      <c r="E694" s="74"/>
      <c r="F694" s="74"/>
      <c r="G694" s="74"/>
      <c r="H694" s="74"/>
      <c r="I694" s="74"/>
      <c r="J694" s="74"/>
      <c r="K694" s="74"/>
      <c r="L694" s="74"/>
      <c r="P694" s="74"/>
    </row>
    <row r="695">
      <c r="A695" s="48"/>
      <c r="C695" s="79"/>
      <c r="D695" s="36"/>
      <c r="E695" s="74"/>
      <c r="F695" s="74"/>
      <c r="G695" s="74"/>
      <c r="H695" s="74"/>
      <c r="I695" s="74"/>
      <c r="J695" s="74"/>
      <c r="K695" s="74"/>
      <c r="L695" s="74"/>
      <c r="P695" s="74"/>
    </row>
    <row r="696">
      <c r="A696" s="48"/>
      <c r="C696" s="79"/>
      <c r="D696" s="36"/>
      <c r="E696" s="74"/>
      <c r="F696" s="74"/>
      <c r="G696" s="74"/>
      <c r="H696" s="74"/>
      <c r="I696" s="74"/>
      <c r="J696" s="74"/>
      <c r="K696" s="74"/>
      <c r="L696" s="74"/>
      <c r="P696" s="74"/>
    </row>
    <row r="697">
      <c r="A697" s="48"/>
      <c r="C697" s="79"/>
      <c r="D697" s="36"/>
      <c r="E697" s="74"/>
      <c r="F697" s="74"/>
      <c r="G697" s="74"/>
      <c r="H697" s="74"/>
      <c r="I697" s="74"/>
      <c r="J697" s="74"/>
      <c r="K697" s="74"/>
      <c r="L697" s="74"/>
      <c r="P697" s="74"/>
    </row>
    <row r="698">
      <c r="A698" s="48"/>
      <c r="C698" s="79"/>
      <c r="D698" s="36"/>
      <c r="E698" s="74"/>
      <c r="F698" s="74"/>
      <c r="G698" s="74"/>
      <c r="H698" s="74"/>
      <c r="I698" s="74"/>
      <c r="J698" s="74"/>
      <c r="K698" s="74"/>
      <c r="L698" s="74"/>
      <c r="P698" s="74"/>
    </row>
    <row r="699">
      <c r="A699" s="48"/>
      <c r="C699" s="79"/>
      <c r="D699" s="36"/>
      <c r="E699" s="74"/>
      <c r="F699" s="74"/>
      <c r="G699" s="74"/>
      <c r="H699" s="74"/>
      <c r="I699" s="74"/>
      <c r="J699" s="74"/>
      <c r="K699" s="74"/>
      <c r="L699" s="74"/>
      <c r="P699" s="74"/>
    </row>
    <row r="700">
      <c r="A700" s="48"/>
      <c r="C700" s="79"/>
      <c r="D700" s="36"/>
      <c r="E700" s="74"/>
      <c r="F700" s="74"/>
      <c r="G700" s="74"/>
      <c r="H700" s="74"/>
      <c r="I700" s="74"/>
      <c r="J700" s="74"/>
      <c r="K700" s="74"/>
      <c r="L700" s="74"/>
      <c r="P700" s="74"/>
    </row>
    <row r="701">
      <c r="A701" s="48"/>
      <c r="C701" s="79"/>
      <c r="D701" s="36"/>
      <c r="E701" s="74"/>
      <c r="F701" s="74"/>
      <c r="G701" s="74"/>
      <c r="H701" s="74"/>
      <c r="I701" s="74"/>
      <c r="J701" s="74"/>
      <c r="K701" s="74"/>
      <c r="L701" s="74"/>
      <c r="P701" s="74"/>
    </row>
    <row r="702">
      <c r="A702" s="48"/>
      <c r="C702" s="79"/>
      <c r="D702" s="36"/>
      <c r="E702" s="74"/>
      <c r="F702" s="74"/>
      <c r="G702" s="74"/>
      <c r="H702" s="74"/>
      <c r="I702" s="74"/>
      <c r="J702" s="74"/>
      <c r="K702" s="74"/>
      <c r="L702" s="74"/>
      <c r="P702" s="74"/>
    </row>
    <row r="703">
      <c r="A703" s="48"/>
      <c r="C703" s="79"/>
      <c r="D703" s="36"/>
      <c r="E703" s="74"/>
      <c r="F703" s="74"/>
      <c r="G703" s="74"/>
      <c r="H703" s="74"/>
      <c r="I703" s="74"/>
      <c r="J703" s="74"/>
      <c r="K703" s="74"/>
      <c r="L703" s="74"/>
      <c r="P703" s="74"/>
    </row>
    <row r="704">
      <c r="A704" s="48"/>
      <c r="C704" s="79"/>
      <c r="D704" s="36"/>
      <c r="E704" s="74"/>
      <c r="F704" s="74"/>
      <c r="G704" s="74"/>
      <c r="H704" s="74"/>
      <c r="I704" s="74"/>
      <c r="J704" s="74"/>
      <c r="K704" s="74"/>
      <c r="L704" s="74"/>
      <c r="P704" s="74"/>
    </row>
    <row r="705">
      <c r="A705" s="48"/>
      <c r="C705" s="79"/>
      <c r="D705" s="36"/>
      <c r="E705" s="74"/>
      <c r="F705" s="74"/>
      <c r="G705" s="74"/>
      <c r="H705" s="74"/>
      <c r="I705" s="74"/>
      <c r="J705" s="74"/>
      <c r="K705" s="74"/>
      <c r="L705" s="74"/>
      <c r="P705" s="74"/>
    </row>
    <row r="706">
      <c r="A706" s="48"/>
      <c r="C706" s="79"/>
      <c r="D706" s="36"/>
      <c r="E706" s="74"/>
      <c r="F706" s="74"/>
      <c r="G706" s="74"/>
      <c r="H706" s="74"/>
      <c r="I706" s="74"/>
      <c r="J706" s="74"/>
      <c r="K706" s="74"/>
      <c r="L706" s="74"/>
      <c r="P706" s="74"/>
    </row>
    <row r="707">
      <c r="A707" s="48"/>
      <c r="C707" s="79"/>
      <c r="D707" s="36"/>
      <c r="E707" s="74"/>
      <c r="F707" s="74"/>
      <c r="G707" s="74"/>
      <c r="H707" s="74"/>
      <c r="I707" s="74"/>
      <c r="J707" s="74"/>
      <c r="K707" s="74"/>
      <c r="L707" s="74"/>
      <c r="P707" s="74"/>
    </row>
    <row r="708">
      <c r="A708" s="48"/>
      <c r="C708" s="79"/>
      <c r="D708" s="36"/>
      <c r="E708" s="74"/>
      <c r="F708" s="74"/>
      <c r="G708" s="74"/>
      <c r="H708" s="74"/>
      <c r="I708" s="74"/>
      <c r="J708" s="74"/>
      <c r="K708" s="74"/>
      <c r="L708" s="74"/>
      <c r="P708" s="74"/>
    </row>
    <row r="709">
      <c r="A709" s="48"/>
      <c r="C709" s="79"/>
      <c r="D709" s="36"/>
      <c r="E709" s="74"/>
      <c r="F709" s="74"/>
      <c r="G709" s="74"/>
      <c r="H709" s="74"/>
      <c r="I709" s="74"/>
      <c r="J709" s="74"/>
      <c r="K709" s="74"/>
      <c r="L709" s="74"/>
      <c r="P709" s="74"/>
    </row>
    <row r="710">
      <c r="A710" s="48"/>
      <c r="C710" s="79"/>
      <c r="D710" s="36"/>
      <c r="E710" s="74"/>
      <c r="F710" s="74"/>
      <c r="G710" s="74"/>
      <c r="H710" s="74"/>
      <c r="I710" s="74"/>
      <c r="J710" s="74"/>
      <c r="K710" s="74"/>
      <c r="L710" s="74"/>
      <c r="P710" s="74"/>
    </row>
    <row r="711">
      <c r="A711" s="48"/>
      <c r="C711" s="79"/>
      <c r="D711" s="36"/>
      <c r="E711" s="74"/>
      <c r="F711" s="74"/>
      <c r="G711" s="74"/>
      <c r="H711" s="74"/>
      <c r="I711" s="74"/>
      <c r="J711" s="74"/>
      <c r="K711" s="74"/>
      <c r="L711" s="74"/>
      <c r="P711" s="74"/>
    </row>
    <row r="712">
      <c r="A712" s="48"/>
      <c r="C712" s="79"/>
      <c r="D712" s="36"/>
      <c r="E712" s="74"/>
      <c r="F712" s="74"/>
      <c r="G712" s="74"/>
      <c r="H712" s="74"/>
      <c r="I712" s="74"/>
      <c r="J712" s="74"/>
      <c r="K712" s="74"/>
      <c r="L712" s="74"/>
      <c r="P712" s="74"/>
    </row>
    <row r="713">
      <c r="A713" s="48"/>
      <c r="C713" s="79"/>
      <c r="D713" s="36"/>
      <c r="E713" s="74"/>
      <c r="F713" s="74"/>
      <c r="G713" s="74"/>
      <c r="H713" s="74"/>
      <c r="I713" s="74"/>
      <c r="J713" s="74"/>
      <c r="K713" s="74"/>
      <c r="L713" s="74"/>
      <c r="P713" s="74"/>
    </row>
    <row r="714">
      <c r="A714" s="48"/>
      <c r="C714" s="79"/>
      <c r="D714" s="36"/>
      <c r="E714" s="74"/>
      <c r="F714" s="74"/>
      <c r="G714" s="74"/>
      <c r="H714" s="74"/>
      <c r="I714" s="74"/>
      <c r="J714" s="74"/>
      <c r="K714" s="74"/>
      <c r="L714" s="74"/>
      <c r="P714" s="74"/>
    </row>
    <row r="715">
      <c r="A715" s="48"/>
      <c r="C715" s="79"/>
      <c r="D715" s="36"/>
      <c r="E715" s="74"/>
      <c r="F715" s="74"/>
      <c r="G715" s="74"/>
      <c r="H715" s="74"/>
      <c r="I715" s="74"/>
      <c r="J715" s="74"/>
      <c r="K715" s="74"/>
      <c r="L715" s="74"/>
      <c r="P715" s="74"/>
    </row>
    <row r="716">
      <c r="A716" s="48"/>
      <c r="C716" s="79"/>
      <c r="D716" s="36"/>
      <c r="E716" s="74"/>
      <c r="F716" s="74"/>
      <c r="G716" s="74"/>
      <c r="H716" s="74"/>
      <c r="I716" s="74"/>
      <c r="J716" s="74"/>
      <c r="K716" s="74"/>
      <c r="L716" s="74"/>
      <c r="P716" s="74"/>
    </row>
    <row r="717">
      <c r="A717" s="48"/>
      <c r="C717" s="79"/>
      <c r="D717" s="36"/>
      <c r="E717" s="74"/>
      <c r="F717" s="74"/>
      <c r="G717" s="74"/>
      <c r="H717" s="74"/>
      <c r="I717" s="74"/>
      <c r="J717" s="74"/>
      <c r="K717" s="74"/>
      <c r="L717" s="74"/>
      <c r="P717" s="74"/>
    </row>
    <row r="718">
      <c r="A718" s="48"/>
      <c r="C718" s="79"/>
      <c r="D718" s="36"/>
      <c r="E718" s="74"/>
      <c r="F718" s="74"/>
      <c r="G718" s="74"/>
      <c r="H718" s="74"/>
      <c r="I718" s="74"/>
      <c r="J718" s="74"/>
      <c r="K718" s="74"/>
      <c r="L718" s="74"/>
      <c r="P718" s="74"/>
    </row>
    <row r="719">
      <c r="A719" s="48"/>
      <c r="C719" s="79"/>
      <c r="D719" s="36"/>
      <c r="E719" s="74"/>
      <c r="F719" s="74"/>
      <c r="G719" s="74"/>
      <c r="H719" s="74"/>
      <c r="I719" s="74"/>
      <c r="J719" s="74"/>
      <c r="K719" s="74"/>
      <c r="L719" s="74"/>
      <c r="P719" s="74"/>
    </row>
    <row r="720">
      <c r="A720" s="48"/>
      <c r="C720" s="79"/>
      <c r="D720" s="36"/>
      <c r="E720" s="74"/>
      <c r="F720" s="74"/>
      <c r="G720" s="74"/>
      <c r="H720" s="74"/>
      <c r="I720" s="74"/>
      <c r="J720" s="74"/>
      <c r="K720" s="74"/>
      <c r="L720" s="74"/>
      <c r="P720" s="74"/>
    </row>
    <row r="721">
      <c r="A721" s="48"/>
      <c r="C721" s="79"/>
      <c r="D721" s="36"/>
      <c r="E721" s="74"/>
      <c r="F721" s="74"/>
      <c r="G721" s="74"/>
      <c r="H721" s="74"/>
      <c r="I721" s="74"/>
      <c r="J721" s="74"/>
      <c r="K721" s="74"/>
      <c r="L721" s="74"/>
      <c r="P721" s="74"/>
    </row>
    <row r="722">
      <c r="A722" s="48"/>
      <c r="C722" s="79"/>
      <c r="D722" s="36"/>
      <c r="E722" s="74"/>
      <c r="F722" s="74"/>
      <c r="G722" s="74"/>
      <c r="H722" s="74"/>
      <c r="I722" s="74"/>
      <c r="J722" s="74"/>
      <c r="K722" s="74"/>
      <c r="L722" s="74"/>
      <c r="P722" s="74"/>
    </row>
    <row r="723">
      <c r="A723" s="48"/>
      <c r="C723" s="79"/>
      <c r="D723" s="36"/>
      <c r="E723" s="74"/>
      <c r="F723" s="74"/>
      <c r="G723" s="74"/>
      <c r="H723" s="74"/>
      <c r="I723" s="74"/>
      <c r="J723" s="74"/>
      <c r="K723" s="74"/>
      <c r="L723" s="74"/>
      <c r="P723" s="74"/>
    </row>
    <row r="724">
      <c r="A724" s="48"/>
      <c r="C724" s="79"/>
      <c r="D724" s="36"/>
      <c r="E724" s="74"/>
      <c r="F724" s="74"/>
      <c r="G724" s="74"/>
      <c r="H724" s="74"/>
      <c r="I724" s="74"/>
      <c r="J724" s="74"/>
      <c r="K724" s="74"/>
      <c r="L724" s="74"/>
      <c r="P724" s="74"/>
    </row>
    <row r="725">
      <c r="A725" s="48"/>
      <c r="C725" s="79"/>
      <c r="D725" s="36"/>
      <c r="E725" s="74"/>
      <c r="F725" s="74"/>
      <c r="G725" s="74"/>
      <c r="H725" s="74"/>
      <c r="I725" s="74"/>
      <c r="J725" s="74"/>
      <c r="K725" s="74"/>
      <c r="L725" s="74"/>
      <c r="P725" s="74"/>
    </row>
    <row r="726">
      <c r="A726" s="48"/>
      <c r="C726" s="79"/>
      <c r="D726" s="36"/>
      <c r="E726" s="74"/>
      <c r="F726" s="74"/>
      <c r="G726" s="74"/>
      <c r="H726" s="74"/>
      <c r="I726" s="74"/>
      <c r="J726" s="74"/>
      <c r="K726" s="74"/>
      <c r="L726" s="74"/>
      <c r="P726" s="74"/>
    </row>
    <row r="727">
      <c r="A727" s="48"/>
      <c r="C727" s="79"/>
      <c r="D727" s="36"/>
      <c r="E727" s="74"/>
      <c r="F727" s="74"/>
      <c r="G727" s="74"/>
      <c r="H727" s="74"/>
      <c r="I727" s="74"/>
      <c r="J727" s="74"/>
      <c r="K727" s="74"/>
      <c r="L727" s="74"/>
      <c r="P727" s="74"/>
    </row>
    <row r="728">
      <c r="A728" s="48"/>
      <c r="C728" s="79"/>
      <c r="D728" s="36"/>
      <c r="E728" s="74"/>
      <c r="F728" s="74"/>
      <c r="G728" s="74"/>
      <c r="H728" s="74"/>
      <c r="I728" s="74"/>
      <c r="J728" s="74"/>
      <c r="K728" s="74"/>
      <c r="L728" s="74"/>
      <c r="P728" s="74"/>
    </row>
    <row r="729">
      <c r="A729" s="48"/>
      <c r="C729" s="79"/>
      <c r="D729" s="36"/>
      <c r="E729" s="74"/>
      <c r="F729" s="74"/>
      <c r="G729" s="74"/>
      <c r="H729" s="74"/>
      <c r="I729" s="74"/>
      <c r="J729" s="74"/>
      <c r="K729" s="74"/>
      <c r="L729" s="74"/>
      <c r="P729" s="74"/>
    </row>
    <row r="730">
      <c r="A730" s="48"/>
      <c r="C730" s="79"/>
      <c r="D730" s="36"/>
      <c r="E730" s="74"/>
      <c r="F730" s="74"/>
      <c r="G730" s="74"/>
      <c r="H730" s="74"/>
      <c r="I730" s="74"/>
      <c r="J730" s="74"/>
      <c r="K730" s="74"/>
      <c r="L730" s="74"/>
      <c r="P730" s="74"/>
    </row>
    <row r="731">
      <c r="A731" s="48"/>
      <c r="C731" s="79"/>
      <c r="D731" s="36"/>
      <c r="E731" s="74"/>
      <c r="F731" s="74"/>
      <c r="G731" s="74"/>
      <c r="H731" s="74"/>
      <c r="I731" s="74"/>
      <c r="J731" s="74"/>
      <c r="K731" s="74"/>
      <c r="L731" s="74"/>
      <c r="P731" s="74"/>
    </row>
    <row r="732">
      <c r="A732" s="48"/>
      <c r="C732" s="79"/>
      <c r="D732" s="36"/>
      <c r="E732" s="74"/>
      <c r="F732" s="74"/>
      <c r="G732" s="74"/>
      <c r="H732" s="74"/>
      <c r="I732" s="74"/>
      <c r="J732" s="74"/>
      <c r="K732" s="74"/>
      <c r="L732" s="74"/>
      <c r="P732" s="74"/>
    </row>
    <row r="733">
      <c r="A733" s="48"/>
      <c r="C733" s="79"/>
      <c r="D733" s="36"/>
      <c r="E733" s="74"/>
      <c r="F733" s="74"/>
      <c r="G733" s="74"/>
      <c r="H733" s="74"/>
      <c r="I733" s="74"/>
      <c r="J733" s="74"/>
      <c r="K733" s="74"/>
      <c r="L733" s="74"/>
      <c r="P733" s="74"/>
    </row>
    <row r="734">
      <c r="A734" s="48"/>
      <c r="C734" s="79"/>
      <c r="D734" s="36"/>
      <c r="E734" s="74"/>
      <c r="F734" s="74"/>
      <c r="G734" s="74"/>
      <c r="H734" s="74"/>
      <c r="I734" s="74"/>
      <c r="J734" s="74"/>
      <c r="K734" s="74"/>
      <c r="L734" s="74"/>
      <c r="P734" s="74"/>
    </row>
    <row r="735">
      <c r="A735" s="48"/>
      <c r="C735" s="79"/>
      <c r="D735" s="36"/>
      <c r="E735" s="74"/>
      <c r="F735" s="74"/>
      <c r="G735" s="74"/>
      <c r="H735" s="74"/>
      <c r="I735" s="74"/>
      <c r="J735" s="74"/>
      <c r="K735" s="74"/>
      <c r="L735" s="74"/>
      <c r="P735" s="74"/>
    </row>
    <row r="736">
      <c r="A736" s="48"/>
      <c r="C736" s="79"/>
      <c r="D736" s="36"/>
      <c r="E736" s="74"/>
      <c r="F736" s="74"/>
      <c r="G736" s="74"/>
      <c r="H736" s="74"/>
      <c r="I736" s="74"/>
      <c r="J736" s="74"/>
      <c r="K736" s="74"/>
      <c r="L736" s="74"/>
      <c r="P736" s="74"/>
    </row>
    <row r="737">
      <c r="A737" s="48"/>
      <c r="C737" s="79"/>
      <c r="D737" s="36"/>
      <c r="E737" s="74"/>
      <c r="F737" s="74"/>
      <c r="G737" s="74"/>
      <c r="H737" s="74"/>
      <c r="I737" s="74"/>
      <c r="J737" s="74"/>
      <c r="K737" s="74"/>
      <c r="L737" s="74"/>
      <c r="P737" s="74"/>
    </row>
    <row r="738">
      <c r="A738" s="48"/>
      <c r="C738" s="79"/>
      <c r="D738" s="36"/>
      <c r="E738" s="74"/>
      <c r="F738" s="74"/>
      <c r="G738" s="74"/>
      <c r="H738" s="74"/>
      <c r="I738" s="74"/>
      <c r="J738" s="74"/>
      <c r="K738" s="74"/>
      <c r="L738" s="74"/>
      <c r="P738" s="74"/>
    </row>
    <row r="739">
      <c r="A739" s="48"/>
      <c r="C739" s="79"/>
      <c r="D739" s="36"/>
      <c r="E739" s="74"/>
      <c r="F739" s="74"/>
      <c r="G739" s="74"/>
      <c r="H739" s="74"/>
      <c r="I739" s="74"/>
      <c r="J739" s="74"/>
      <c r="K739" s="74"/>
      <c r="L739" s="74"/>
      <c r="P739" s="74"/>
    </row>
    <row r="740">
      <c r="A740" s="48"/>
      <c r="C740" s="79"/>
      <c r="D740" s="36"/>
      <c r="E740" s="74"/>
      <c r="F740" s="74"/>
      <c r="G740" s="74"/>
      <c r="H740" s="74"/>
      <c r="I740" s="74"/>
      <c r="J740" s="74"/>
      <c r="K740" s="74"/>
      <c r="L740" s="74"/>
      <c r="P740" s="74"/>
    </row>
    <row r="741">
      <c r="A741" s="48"/>
      <c r="C741" s="79"/>
      <c r="D741" s="36"/>
      <c r="E741" s="74"/>
      <c r="F741" s="74"/>
      <c r="G741" s="74"/>
      <c r="H741" s="74"/>
      <c r="I741" s="74"/>
      <c r="J741" s="74"/>
      <c r="K741" s="74"/>
      <c r="L741" s="74"/>
      <c r="P741" s="74"/>
    </row>
    <row r="742">
      <c r="A742" s="48"/>
      <c r="C742" s="79"/>
      <c r="D742" s="36"/>
      <c r="E742" s="74"/>
      <c r="F742" s="74"/>
      <c r="G742" s="74"/>
      <c r="H742" s="74"/>
      <c r="I742" s="74"/>
      <c r="J742" s="74"/>
      <c r="K742" s="74"/>
      <c r="L742" s="74"/>
      <c r="P742" s="74"/>
    </row>
    <row r="743">
      <c r="A743" s="48"/>
      <c r="C743" s="79"/>
      <c r="D743" s="36"/>
      <c r="E743" s="74"/>
      <c r="F743" s="74"/>
      <c r="G743" s="74"/>
      <c r="H743" s="74"/>
      <c r="I743" s="74"/>
      <c r="J743" s="74"/>
      <c r="K743" s="74"/>
      <c r="L743" s="74"/>
      <c r="P743" s="74"/>
    </row>
    <row r="744">
      <c r="A744" s="48"/>
      <c r="C744" s="79"/>
      <c r="D744" s="36"/>
      <c r="E744" s="74"/>
      <c r="F744" s="74"/>
      <c r="G744" s="74"/>
      <c r="H744" s="74"/>
      <c r="I744" s="74"/>
      <c r="J744" s="74"/>
      <c r="K744" s="74"/>
      <c r="L744" s="74"/>
      <c r="P744" s="74"/>
    </row>
    <row r="745">
      <c r="A745" s="48"/>
      <c r="C745" s="79"/>
      <c r="D745" s="36"/>
      <c r="E745" s="74"/>
      <c r="F745" s="74"/>
      <c r="G745" s="74"/>
      <c r="H745" s="74"/>
      <c r="I745" s="74"/>
      <c r="J745" s="74"/>
      <c r="K745" s="74"/>
      <c r="L745" s="74"/>
      <c r="P745" s="74"/>
    </row>
    <row r="746">
      <c r="A746" s="48"/>
      <c r="C746" s="79"/>
      <c r="D746" s="36"/>
      <c r="E746" s="74"/>
      <c r="F746" s="74"/>
      <c r="G746" s="74"/>
      <c r="H746" s="74"/>
      <c r="I746" s="74"/>
      <c r="J746" s="74"/>
      <c r="K746" s="74"/>
      <c r="L746" s="74"/>
      <c r="P746" s="74"/>
    </row>
    <row r="747">
      <c r="A747" s="48"/>
      <c r="C747" s="79"/>
      <c r="D747" s="36"/>
      <c r="E747" s="74"/>
      <c r="F747" s="74"/>
      <c r="G747" s="74"/>
      <c r="H747" s="74"/>
      <c r="I747" s="74"/>
      <c r="J747" s="74"/>
      <c r="K747" s="74"/>
      <c r="L747" s="74"/>
      <c r="P747" s="74"/>
    </row>
    <row r="748">
      <c r="A748" s="48"/>
      <c r="C748" s="79"/>
      <c r="D748" s="36"/>
      <c r="E748" s="74"/>
      <c r="F748" s="74"/>
      <c r="G748" s="74"/>
      <c r="H748" s="74"/>
      <c r="I748" s="74"/>
      <c r="J748" s="74"/>
      <c r="K748" s="74"/>
      <c r="L748" s="74"/>
      <c r="P748" s="74"/>
    </row>
    <row r="749">
      <c r="A749" s="48"/>
      <c r="C749" s="79"/>
      <c r="D749" s="36"/>
      <c r="E749" s="74"/>
      <c r="F749" s="74"/>
      <c r="G749" s="74"/>
      <c r="H749" s="74"/>
      <c r="I749" s="74"/>
      <c r="J749" s="74"/>
      <c r="K749" s="74"/>
      <c r="L749" s="74"/>
      <c r="P749" s="74"/>
    </row>
    <row r="750">
      <c r="A750" s="48"/>
      <c r="C750" s="79"/>
      <c r="D750" s="36"/>
      <c r="E750" s="74"/>
      <c r="F750" s="74"/>
      <c r="G750" s="74"/>
      <c r="H750" s="74"/>
      <c r="I750" s="74"/>
      <c r="J750" s="74"/>
      <c r="K750" s="74"/>
      <c r="L750" s="74"/>
      <c r="P750" s="74"/>
    </row>
    <row r="751">
      <c r="A751" s="48"/>
      <c r="C751" s="79"/>
      <c r="D751" s="36"/>
      <c r="E751" s="74"/>
      <c r="F751" s="74"/>
      <c r="G751" s="74"/>
      <c r="H751" s="74"/>
      <c r="I751" s="74"/>
      <c r="J751" s="74"/>
      <c r="K751" s="74"/>
      <c r="L751" s="74"/>
      <c r="P751" s="74"/>
    </row>
    <row r="752">
      <c r="A752" s="48"/>
      <c r="C752" s="79"/>
      <c r="D752" s="36"/>
      <c r="E752" s="74"/>
      <c r="F752" s="74"/>
      <c r="G752" s="74"/>
      <c r="H752" s="74"/>
      <c r="I752" s="74"/>
      <c r="J752" s="74"/>
      <c r="K752" s="74"/>
      <c r="L752" s="74"/>
      <c r="P752" s="74"/>
    </row>
    <row r="753">
      <c r="A753" s="48"/>
      <c r="C753" s="79"/>
      <c r="D753" s="36"/>
      <c r="E753" s="74"/>
      <c r="F753" s="74"/>
      <c r="G753" s="74"/>
      <c r="H753" s="74"/>
      <c r="I753" s="74"/>
      <c r="J753" s="74"/>
      <c r="K753" s="74"/>
      <c r="L753" s="74"/>
      <c r="P753" s="74"/>
    </row>
    <row r="754">
      <c r="A754" s="48"/>
      <c r="C754" s="79"/>
      <c r="D754" s="36"/>
      <c r="E754" s="74"/>
      <c r="F754" s="74"/>
      <c r="G754" s="74"/>
      <c r="H754" s="74"/>
      <c r="I754" s="74"/>
      <c r="J754" s="74"/>
      <c r="K754" s="74"/>
      <c r="L754" s="74"/>
      <c r="P754" s="74"/>
    </row>
    <row r="755">
      <c r="A755" s="48"/>
      <c r="C755" s="79"/>
      <c r="D755" s="36"/>
      <c r="E755" s="74"/>
      <c r="F755" s="74"/>
      <c r="G755" s="74"/>
      <c r="H755" s="74"/>
      <c r="I755" s="74"/>
      <c r="J755" s="74"/>
      <c r="K755" s="74"/>
      <c r="L755" s="74"/>
      <c r="P755" s="74"/>
    </row>
    <row r="756">
      <c r="A756" s="48"/>
      <c r="C756" s="79"/>
      <c r="D756" s="36"/>
      <c r="E756" s="74"/>
      <c r="F756" s="74"/>
      <c r="G756" s="74"/>
      <c r="H756" s="74"/>
      <c r="I756" s="74"/>
      <c r="J756" s="74"/>
      <c r="K756" s="74"/>
      <c r="L756" s="74"/>
      <c r="P756" s="74"/>
    </row>
    <row r="757">
      <c r="A757" s="48"/>
      <c r="C757" s="79"/>
      <c r="D757" s="36"/>
      <c r="E757" s="74"/>
      <c r="F757" s="74"/>
      <c r="G757" s="74"/>
      <c r="H757" s="74"/>
      <c r="I757" s="74"/>
      <c r="J757" s="74"/>
      <c r="K757" s="74"/>
      <c r="L757" s="74"/>
      <c r="P757" s="74"/>
    </row>
    <row r="758">
      <c r="A758" s="48"/>
      <c r="C758" s="79"/>
      <c r="D758" s="36"/>
      <c r="E758" s="74"/>
      <c r="F758" s="74"/>
      <c r="G758" s="74"/>
      <c r="H758" s="74"/>
      <c r="I758" s="74"/>
      <c r="J758" s="74"/>
      <c r="K758" s="74"/>
      <c r="L758" s="74"/>
      <c r="P758" s="74"/>
    </row>
    <row r="759">
      <c r="A759" s="48"/>
      <c r="C759" s="79"/>
      <c r="D759" s="36"/>
      <c r="E759" s="74"/>
      <c r="F759" s="74"/>
      <c r="G759" s="74"/>
      <c r="H759" s="74"/>
      <c r="I759" s="74"/>
      <c r="J759" s="74"/>
      <c r="K759" s="74"/>
      <c r="L759" s="74"/>
      <c r="P759" s="74"/>
    </row>
    <row r="760">
      <c r="A760" s="48"/>
      <c r="C760" s="79"/>
      <c r="D760" s="36"/>
      <c r="E760" s="74"/>
      <c r="F760" s="74"/>
      <c r="G760" s="74"/>
      <c r="H760" s="74"/>
      <c r="I760" s="74"/>
      <c r="J760" s="74"/>
      <c r="K760" s="74"/>
      <c r="L760" s="74"/>
      <c r="P760" s="74"/>
    </row>
    <row r="761">
      <c r="A761" s="48"/>
      <c r="C761" s="79"/>
      <c r="D761" s="36"/>
      <c r="E761" s="74"/>
      <c r="F761" s="74"/>
      <c r="G761" s="74"/>
      <c r="H761" s="74"/>
      <c r="I761" s="74"/>
      <c r="J761" s="74"/>
      <c r="K761" s="74"/>
      <c r="L761" s="74"/>
      <c r="P761" s="74"/>
    </row>
    <row r="762">
      <c r="A762" s="48"/>
      <c r="C762" s="79"/>
      <c r="D762" s="36"/>
      <c r="E762" s="74"/>
      <c r="F762" s="74"/>
      <c r="G762" s="74"/>
      <c r="H762" s="74"/>
      <c r="I762" s="74"/>
      <c r="J762" s="74"/>
      <c r="K762" s="74"/>
      <c r="L762" s="74"/>
      <c r="P762" s="74"/>
    </row>
    <row r="763">
      <c r="A763" s="48"/>
      <c r="C763" s="79"/>
      <c r="D763" s="36"/>
      <c r="E763" s="74"/>
      <c r="F763" s="74"/>
      <c r="G763" s="74"/>
      <c r="H763" s="74"/>
      <c r="I763" s="74"/>
      <c r="J763" s="74"/>
      <c r="K763" s="74"/>
      <c r="L763" s="74"/>
      <c r="P763" s="74"/>
    </row>
    <row r="764">
      <c r="A764" s="48"/>
      <c r="C764" s="79"/>
      <c r="D764" s="36"/>
      <c r="E764" s="74"/>
      <c r="F764" s="74"/>
      <c r="G764" s="74"/>
      <c r="H764" s="74"/>
      <c r="I764" s="74"/>
      <c r="J764" s="74"/>
      <c r="K764" s="74"/>
      <c r="L764" s="74"/>
      <c r="P764" s="74"/>
    </row>
    <row r="765">
      <c r="A765" s="48"/>
      <c r="C765" s="79"/>
      <c r="D765" s="36"/>
      <c r="E765" s="74"/>
      <c r="F765" s="74"/>
      <c r="G765" s="74"/>
      <c r="H765" s="74"/>
      <c r="I765" s="74"/>
      <c r="J765" s="74"/>
      <c r="K765" s="74"/>
      <c r="L765" s="74"/>
      <c r="P765" s="74"/>
    </row>
    <row r="766">
      <c r="A766" s="48"/>
      <c r="C766" s="79"/>
      <c r="D766" s="36"/>
      <c r="E766" s="74"/>
      <c r="F766" s="74"/>
      <c r="G766" s="74"/>
      <c r="H766" s="74"/>
      <c r="I766" s="74"/>
      <c r="J766" s="74"/>
      <c r="K766" s="74"/>
      <c r="L766" s="74"/>
      <c r="P766" s="74"/>
    </row>
    <row r="767">
      <c r="A767" s="48"/>
      <c r="C767" s="79"/>
      <c r="D767" s="36"/>
      <c r="E767" s="74"/>
      <c r="F767" s="74"/>
      <c r="G767" s="74"/>
      <c r="H767" s="74"/>
      <c r="I767" s="74"/>
      <c r="J767" s="74"/>
      <c r="K767" s="74"/>
      <c r="L767" s="74"/>
      <c r="P767" s="74"/>
    </row>
    <row r="768">
      <c r="A768" s="48"/>
      <c r="C768" s="79"/>
      <c r="D768" s="36"/>
      <c r="E768" s="74"/>
      <c r="F768" s="74"/>
      <c r="G768" s="74"/>
      <c r="H768" s="74"/>
      <c r="I768" s="74"/>
      <c r="J768" s="74"/>
      <c r="K768" s="74"/>
      <c r="L768" s="74"/>
      <c r="P768" s="74"/>
    </row>
    <row r="769">
      <c r="A769" s="48"/>
      <c r="C769" s="79"/>
      <c r="D769" s="36"/>
      <c r="E769" s="74"/>
      <c r="F769" s="74"/>
      <c r="G769" s="74"/>
      <c r="H769" s="74"/>
      <c r="I769" s="74"/>
      <c r="J769" s="74"/>
      <c r="K769" s="74"/>
      <c r="L769" s="74"/>
      <c r="P769" s="74"/>
    </row>
    <row r="770">
      <c r="A770" s="48"/>
      <c r="C770" s="79"/>
      <c r="D770" s="36"/>
      <c r="E770" s="74"/>
      <c r="F770" s="74"/>
      <c r="G770" s="74"/>
      <c r="H770" s="74"/>
      <c r="I770" s="74"/>
      <c r="J770" s="74"/>
      <c r="K770" s="74"/>
      <c r="L770" s="74"/>
      <c r="P770" s="74"/>
    </row>
    <row r="771">
      <c r="A771" s="48"/>
      <c r="C771" s="79"/>
      <c r="D771" s="36"/>
      <c r="E771" s="74"/>
      <c r="F771" s="74"/>
      <c r="G771" s="74"/>
      <c r="H771" s="74"/>
      <c r="I771" s="74"/>
      <c r="J771" s="74"/>
      <c r="K771" s="74"/>
      <c r="L771" s="74"/>
      <c r="P771" s="74"/>
    </row>
    <row r="772">
      <c r="A772" s="48"/>
      <c r="C772" s="79"/>
      <c r="D772" s="36"/>
      <c r="E772" s="74"/>
      <c r="F772" s="74"/>
      <c r="G772" s="74"/>
      <c r="H772" s="74"/>
      <c r="I772" s="74"/>
      <c r="J772" s="74"/>
      <c r="K772" s="74"/>
      <c r="L772" s="74"/>
      <c r="P772" s="74"/>
    </row>
    <row r="773">
      <c r="A773" s="48"/>
      <c r="C773" s="79"/>
      <c r="D773" s="36"/>
      <c r="E773" s="74"/>
      <c r="F773" s="74"/>
      <c r="G773" s="74"/>
      <c r="H773" s="74"/>
      <c r="I773" s="74"/>
      <c r="J773" s="74"/>
      <c r="K773" s="74"/>
      <c r="L773" s="74"/>
      <c r="P773" s="74"/>
    </row>
    <row r="774">
      <c r="A774" s="48"/>
      <c r="C774" s="79"/>
      <c r="D774" s="36"/>
      <c r="E774" s="74"/>
      <c r="F774" s="74"/>
      <c r="G774" s="74"/>
      <c r="H774" s="74"/>
      <c r="I774" s="74"/>
      <c r="J774" s="74"/>
      <c r="K774" s="74"/>
      <c r="L774" s="74"/>
      <c r="P774" s="74"/>
    </row>
    <row r="775">
      <c r="A775" s="48"/>
      <c r="C775" s="79"/>
      <c r="D775" s="36"/>
      <c r="E775" s="74"/>
      <c r="F775" s="74"/>
      <c r="G775" s="74"/>
      <c r="H775" s="74"/>
      <c r="I775" s="74"/>
      <c r="J775" s="74"/>
      <c r="K775" s="74"/>
      <c r="L775" s="74"/>
      <c r="P775" s="74"/>
    </row>
    <row r="776">
      <c r="A776" s="48"/>
      <c r="C776" s="79"/>
      <c r="D776" s="36"/>
      <c r="E776" s="74"/>
      <c r="F776" s="74"/>
      <c r="G776" s="74"/>
      <c r="H776" s="74"/>
      <c r="I776" s="74"/>
      <c r="J776" s="74"/>
      <c r="K776" s="74"/>
      <c r="L776" s="74"/>
      <c r="P776" s="74"/>
    </row>
    <row r="777">
      <c r="A777" s="48"/>
      <c r="C777" s="79"/>
      <c r="D777" s="36"/>
      <c r="E777" s="74"/>
      <c r="F777" s="74"/>
      <c r="G777" s="74"/>
      <c r="H777" s="74"/>
      <c r="I777" s="74"/>
      <c r="J777" s="74"/>
      <c r="K777" s="74"/>
      <c r="L777" s="74"/>
      <c r="P777" s="74"/>
    </row>
    <row r="778">
      <c r="A778" s="48"/>
      <c r="C778" s="79"/>
      <c r="D778" s="36"/>
      <c r="E778" s="74"/>
      <c r="F778" s="74"/>
      <c r="G778" s="74"/>
      <c r="H778" s="74"/>
      <c r="I778" s="74"/>
      <c r="J778" s="74"/>
      <c r="K778" s="74"/>
      <c r="L778" s="74"/>
      <c r="P778" s="74"/>
    </row>
    <row r="779">
      <c r="A779" s="48"/>
      <c r="C779" s="79"/>
      <c r="D779" s="36"/>
      <c r="E779" s="74"/>
      <c r="F779" s="74"/>
      <c r="G779" s="74"/>
      <c r="H779" s="74"/>
      <c r="I779" s="74"/>
      <c r="J779" s="74"/>
      <c r="K779" s="74"/>
      <c r="L779" s="74"/>
      <c r="P779" s="74"/>
    </row>
    <row r="780">
      <c r="A780" s="48"/>
      <c r="C780" s="79"/>
      <c r="D780" s="36"/>
      <c r="E780" s="74"/>
      <c r="F780" s="74"/>
      <c r="G780" s="74"/>
      <c r="H780" s="74"/>
      <c r="I780" s="74"/>
      <c r="J780" s="74"/>
      <c r="K780" s="74"/>
      <c r="L780" s="74"/>
      <c r="P780" s="74"/>
    </row>
    <row r="781">
      <c r="A781" s="48"/>
      <c r="C781" s="79"/>
      <c r="D781" s="36"/>
      <c r="E781" s="74"/>
      <c r="F781" s="74"/>
      <c r="G781" s="74"/>
      <c r="H781" s="74"/>
      <c r="I781" s="74"/>
      <c r="J781" s="74"/>
      <c r="K781" s="74"/>
      <c r="L781" s="74"/>
      <c r="P781" s="74"/>
    </row>
    <row r="782">
      <c r="A782" s="48"/>
      <c r="C782" s="79"/>
      <c r="D782" s="36"/>
      <c r="E782" s="74"/>
      <c r="F782" s="74"/>
      <c r="G782" s="74"/>
      <c r="H782" s="74"/>
      <c r="I782" s="74"/>
      <c r="J782" s="74"/>
      <c r="K782" s="74"/>
      <c r="L782" s="74"/>
      <c r="P782" s="74"/>
    </row>
    <row r="783">
      <c r="A783" s="48"/>
      <c r="C783" s="79"/>
      <c r="D783" s="36"/>
      <c r="E783" s="74"/>
      <c r="F783" s="74"/>
      <c r="G783" s="74"/>
      <c r="H783" s="74"/>
      <c r="I783" s="74"/>
      <c r="J783" s="74"/>
      <c r="K783" s="74"/>
      <c r="L783" s="74"/>
      <c r="P783" s="74"/>
    </row>
    <row r="784">
      <c r="A784" s="48"/>
      <c r="C784" s="79"/>
      <c r="D784" s="36"/>
      <c r="E784" s="74"/>
      <c r="F784" s="74"/>
      <c r="G784" s="74"/>
      <c r="H784" s="74"/>
      <c r="I784" s="74"/>
      <c r="J784" s="74"/>
      <c r="K784" s="74"/>
      <c r="L784" s="74"/>
      <c r="P784" s="74"/>
    </row>
    <row r="785">
      <c r="A785" s="48"/>
      <c r="C785" s="79"/>
      <c r="D785" s="36"/>
      <c r="E785" s="74"/>
      <c r="F785" s="74"/>
      <c r="G785" s="74"/>
      <c r="H785" s="74"/>
      <c r="I785" s="74"/>
      <c r="J785" s="74"/>
      <c r="K785" s="74"/>
      <c r="L785" s="74"/>
      <c r="P785" s="74"/>
    </row>
    <row r="786">
      <c r="A786" s="48"/>
      <c r="C786" s="79"/>
      <c r="D786" s="36"/>
      <c r="E786" s="74"/>
      <c r="F786" s="74"/>
      <c r="G786" s="74"/>
      <c r="H786" s="74"/>
      <c r="I786" s="74"/>
      <c r="J786" s="74"/>
      <c r="K786" s="74"/>
      <c r="L786" s="74"/>
      <c r="P786" s="74"/>
    </row>
    <row r="787">
      <c r="A787" s="48"/>
      <c r="C787" s="79"/>
      <c r="D787" s="36"/>
      <c r="E787" s="74"/>
      <c r="F787" s="74"/>
      <c r="G787" s="74"/>
      <c r="H787" s="74"/>
      <c r="I787" s="74"/>
      <c r="J787" s="74"/>
      <c r="K787" s="74"/>
      <c r="L787" s="74"/>
      <c r="P787" s="74"/>
    </row>
    <row r="788">
      <c r="A788" s="48"/>
      <c r="C788" s="79"/>
      <c r="D788" s="36"/>
      <c r="E788" s="74"/>
      <c r="F788" s="74"/>
      <c r="G788" s="74"/>
      <c r="H788" s="74"/>
      <c r="I788" s="74"/>
      <c r="J788" s="74"/>
      <c r="K788" s="74"/>
      <c r="L788" s="74"/>
      <c r="P788" s="74"/>
    </row>
    <row r="789">
      <c r="A789" s="48"/>
      <c r="C789" s="79"/>
      <c r="D789" s="36"/>
      <c r="E789" s="74"/>
      <c r="F789" s="74"/>
      <c r="G789" s="74"/>
      <c r="H789" s="74"/>
      <c r="I789" s="74"/>
      <c r="J789" s="74"/>
      <c r="K789" s="74"/>
      <c r="L789" s="74"/>
      <c r="P789" s="74"/>
    </row>
    <row r="790">
      <c r="A790" s="48"/>
      <c r="C790" s="79"/>
      <c r="D790" s="36"/>
      <c r="E790" s="74"/>
      <c r="F790" s="74"/>
      <c r="G790" s="74"/>
      <c r="H790" s="74"/>
      <c r="I790" s="74"/>
      <c r="J790" s="74"/>
      <c r="K790" s="74"/>
      <c r="L790" s="74"/>
      <c r="P790" s="74"/>
    </row>
    <row r="791">
      <c r="A791" s="48"/>
      <c r="C791" s="79"/>
      <c r="D791" s="36"/>
      <c r="E791" s="74"/>
      <c r="F791" s="74"/>
      <c r="G791" s="74"/>
      <c r="H791" s="74"/>
      <c r="I791" s="74"/>
      <c r="J791" s="74"/>
      <c r="K791" s="74"/>
      <c r="L791" s="74"/>
      <c r="P791" s="74"/>
    </row>
    <row r="792">
      <c r="A792" s="48"/>
      <c r="C792" s="79"/>
      <c r="D792" s="36"/>
      <c r="E792" s="74"/>
      <c r="F792" s="74"/>
      <c r="G792" s="74"/>
      <c r="H792" s="74"/>
      <c r="I792" s="74"/>
      <c r="J792" s="74"/>
      <c r="K792" s="74"/>
      <c r="L792" s="74"/>
      <c r="P792" s="74"/>
    </row>
    <row r="793">
      <c r="A793" s="48"/>
      <c r="C793" s="79"/>
      <c r="D793" s="36"/>
      <c r="E793" s="74"/>
      <c r="F793" s="74"/>
      <c r="G793" s="74"/>
      <c r="H793" s="74"/>
      <c r="I793" s="74"/>
      <c r="J793" s="74"/>
      <c r="K793" s="74"/>
      <c r="L793" s="74"/>
      <c r="P793" s="74"/>
    </row>
    <row r="794">
      <c r="A794" s="48"/>
      <c r="C794" s="79"/>
      <c r="D794" s="36"/>
      <c r="E794" s="74"/>
      <c r="F794" s="74"/>
      <c r="G794" s="74"/>
      <c r="H794" s="74"/>
      <c r="I794" s="74"/>
      <c r="J794" s="74"/>
      <c r="K794" s="74"/>
      <c r="L794" s="74"/>
      <c r="P794" s="74"/>
    </row>
    <row r="795">
      <c r="A795" s="48"/>
      <c r="C795" s="79"/>
      <c r="D795" s="36"/>
      <c r="E795" s="74"/>
      <c r="F795" s="74"/>
      <c r="G795" s="74"/>
      <c r="H795" s="74"/>
      <c r="I795" s="74"/>
      <c r="J795" s="74"/>
      <c r="K795" s="74"/>
      <c r="L795" s="74"/>
      <c r="P795" s="74"/>
    </row>
    <row r="796">
      <c r="A796" s="48"/>
      <c r="C796" s="79"/>
      <c r="D796" s="36"/>
      <c r="E796" s="74"/>
      <c r="F796" s="74"/>
      <c r="G796" s="74"/>
      <c r="H796" s="74"/>
      <c r="I796" s="74"/>
      <c r="J796" s="74"/>
      <c r="K796" s="74"/>
      <c r="L796" s="74"/>
      <c r="P796" s="74"/>
    </row>
    <row r="797">
      <c r="A797" s="48"/>
      <c r="C797" s="79"/>
      <c r="D797" s="36"/>
      <c r="E797" s="74"/>
      <c r="F797" s="74"/>
      <c r="G797" s="74"/>
      <c r="H797" s="74"/>
      <c r="I797" s="74"/>
      <c r="J797" s="74"/>
      <c r="K797" s="74"/>
      <c r="L797" s="74"/>
      <c r="P797" s="74"/>
    </row>
    <row r="798">
      <c r="A798" s="48"/>
      <c r="C798" s="79"/>
      <c r="D798" s="36"/>
      <c r="E798" s="74"/>
      <c r="F798" s="74"/>
      <c r="G798" s="74"/>
      <c r="H798" s="74"/>
      <c r="I798" s="74"/>
      <c r="J798" s="74"/>
      <c r="K798" s="74"/>
      <c r="L798" s="74"/>
      <c r="P798" s="74"/>
    </row>
    <row r="799">
      <c r="A799" s="48"/>
      <c r="C799" s="79"/>
      <c r="D799" s="36"/>
      <c r="E799" s="74"/>
      <c r="F799" s="74"/>
      <c r="G799" s="74"/>
      <c r="H799" s="74"/>
      <c r="I799" s="74"/>
      <c r="J799" s="74"/>
      <c r="K799" s="74"/>
      <c r="L799" s="74"/>
      <c r="P799" s="74"/>
    </row>
    <row r="800">
      <c r="A800" s="48"/>
      <c r="C800" s="79"/>
      <c r="D800" s="36"/>
      <c r="E800" s="74"/>
      <c r="F800" s="74"/>
      <c r="G800" s="74"/>
      <c r="H800" s="74"/>
      <c r="I800" s="74"/>
      <c r="J800" s="74"/>
      <c r="K800" s="74"/>
      <c r="L800" s="74"/>
      <c r="P800" s="74"/>
    </row>
    <row r="801">
      <c r="A801" s="48"/>
      <c r="C801" s="79"/>
      <c r="D801" s="36"/>
      <c r="E801" s="74"/>
      <c r="F801" s="74"/>
      <c r="G801" s="74"/>
      <c r="H801" s="74"/>
      <c r="I801" s="74"/>
      <c r="J801" s="74"/>
      <c r="K801" s="74"/>
      <c r="L801" s="74"/>
      <c r="P801" s="74"/>
    </row>
    <row r="802">
      <c r="A802" s="48"/>
      <c r="C802" s="79"/>
      <c r="D802" s="36"/>
      <c r="E802" s="74"/>
      <c r="F802" s="74"/>
      <c r="G802" s="74"/>
      <c r="H802" s="74"/>
      <c r="I802" s="74"/>
      <c r="J802" s="74"/>
      <c r="K802" s="74"/>
      <c r="L802" s="74"/>
      <c r="P802" s="74"/>
    </row>
    <row r="803">
      <c r="A803" s="48"/>
      <c r="C803" s="79"/>
      <c r="D803" s="36"/>
      <c r="E803" s="74"/>
      <c r="F803" s="74"/>
      <c r="G803" s="74"/>
      <c r="H803" s="74"/>
      <c r="I803" s="74"/>
      <c r="J803" s="74"/>
      <c r="K803" s="74"/>
      <c r="L803" s="74"/>
      <c r="P803" s="74"/>
    </row>
    <row r="804">
      <c r="A804" s="48"/>
      <c r="C804" s="79"/>
      <c r="D804" s="36"/>
      <c r="E804" s="74"/>
      <c r="F804" s="74"/>
      <c r="G804" s="74"/>
      <c r="H804" s="74"/>
      <c r="I804" s="74"/>
      <c r="J804" s="74"/>
      <c r="K804" s="74"/>
      <c r="L804" s="74"/>
      <c r="P804" s="74"/>
    </row>
    <row r="805">
      <c r="A805" s="48"/>
      <c r="C805" s="79"/>
      <c r="D805" s="36"/>
      <c r="E805" s="74"/>
      <c r="F805" s="74"/>
      <c r="G805" s="74"/>
      <c r="H805" s="74"/>
      <c r="I805" s="74"/>
      <c r="J805" s="74"/>
      <c r="K805" s="74"/>
      <c r="L805" s="74"/>
      <c r="P805" s="74"/>
    </row>
    <row r="806">
      <c r="A806" s="48"/>
      <c r="C806" s="79"/>
      <c r="D806" s="36"/>
      <c r="E806" s="74"/>
      <c r="F806" s="74"/>
      <c r="G806" s="74"/>
      <c r="H806" s="74"/>
      <c r="I806" s="74"/>
      <c r="J806" s="74"/>
      <c r="K806" s="74"/>
      <c r="L806" s="74"/>
      <c r="P806" s="74"/>
    </row>
    <row r="807">
      <c r="A807" s="48"/>
      <c r="C807" s="79"/>
      <c r="D807" s="36"/>
      <c r="E807" s="74"/>
      <c r="F807" s="74"/>
      <c r="G807" s="74"/>
      <c r="H807" s="74"/>
      <c r="I807" s="74"/>
      <c r="J807" s="74"/>
      <c r="K807" s="74"/>
      <c r="L807" s="74"/>
      <c r="P807" s="74"/>
    </row>
    <row r="808">
      <c r="A808" s="48"/>
      <c r="C808" s="79"/>
      <c r="D808" s="36"/>
      <c r="E808" s="74"/>
      <c r="F808" s="74"/>
      <c r="G808" s="74"/>
      <c r="H808" s="74"/>
      <c r="I808" s="74"/>
      <c r="J808" s="74"/>
      <c r="K808" s="74"/>
      <c r="L808" s="74"/>
      <c r="P808" s="74"/>
    </row>
    <row r="809">
      <c r="A809" s="48"/>
      <c r="C809" s="79"/>
      <c r="D809" s="36"/>
      <c r="E809" s="74"/>
      <c r="F809" s="74"/>
      <c r="G809" s="74"/>
      <c r="H809" s="74"/>
      <c r="I809" s="74"/>
      <c r="J809" s="74"/>
      <c r="K809" s="74"/>
      <c r="L809" s="74"/>
      <c r="P809" s="74"/>
    </row>
    <row r="810">
      <c r="A810" s="48"/>
      <c r="C810" s="79"/>
      <c r="D810" s="36"/>
      <c r="E810" s="74"/>
      <c r="F810" s="74"/>
      <c r="G810" s="74"/>
      <c r="H810" s="74"/>
      <c r="I810" s="74"/>
      <c r="J810" s="74"/>
      <c r="K810" s="74"/>
      <c r="L810" s="74"/>
      <c r="P810" s="74"/>
    </row>
    <row r="811">
      <c r="A811" s="48"/>
      <c r="C811" s="79"/>
      <c r="D811" s="36"/>
      <c r="E811" s="74"/>
      <c r="F811" s="74"/>
      <c r="G811" s="74"/>
      <c r="H811" s="74"/>
      <c r="I811" s="74"/>
      <c r="J811" s="74"/>
      <c r="K811" s="74"/>
      <c r="L811" s="74"/>
      <c r="P811" s="74"/>
    </row>
    <row r="812">
      <c r="A812" s="48"/>
      <c r="C812" s="79"/>
      <c r="D812" s="36"/>
      <c r="E812" s="74"/>
      <c r="F812" s="74"/>
      <c r="G812" s="74"/>
      <c r="H812" s="74"/>
      <c r="I812" s="74"/>
      <c r="J812" s="74"/>
      <c r="K812" s="74"/>
      <c r="L812" s="74"/>
      <c r="P812" s="74"/>
    </row>
    <row r="813">
      <c r="A813" s="48"/>
      <c r="C813" s="79"/>
      <c r="D813" s="36"/>
      <c r="E813" s="74"/>
      <c r="F813" s="74"/>
      <c r="G813" s="74"/>
      <c r="H813" s="74"/>
      <c r="I813" s="74"/>
      <c r="J813" s="74"/>
      <c r="K813" s="74"/>
      <c r="L813" s="74"/>
      <c r="P813" s="74"/>
    </row>
    <row r="814">
      <c r="A814" s="48"/>
      <c r="C814" s="79"/>
      <c r="D814" s="36"/>
      <c r="E814" s="74"/>
      <c r="F814" s="74"/>
      <c r="G814" s="74"/>
      <c r="H814" s="74"/>
      <c r="I814" s="74"/>
      <c r="J814" s="74"/>
      <c r="K814" s="74"/>
      <c r="L814" s="74"/>
      <c r="P814" s="74"/>
    </row>
    <row r="815">
      <c r="A815" s="48"/>
      <c r="C815" s="79"/>
      <c r="D815" s="36"/>
      <c r="E815" s="74"/>
      <c r="F815" s="74"/>
      <c r="G815" s="74"/>
      <c r="H815" s="74"/>
      <c r="I815" s="74"/>
      <c r="J815" s="74"/>
      <c r="K815" s="74"/>
      <c r="L815" s="74"/>
      <c r="P815" s="74"/>
    </row>
    <row r="816">
      <c r="A816" s="48"/>
      <c r="C816" s="79"/>
      <c r="D816" s="36"/>
      <c r="E816" s="74"/>
      <c r="F816" s="74"/>
      <c r="G816" s="74"/>
      <c r="H816" s="74"/>
      <c r="I816" s="74"/>
      <c r="J816" s="74"/>
      <c r="K816" s="74"/>
      <c r="L816" s="74"/>
      <c r="P816" s="74"/>
    </row>
    <row r="817">
      <c r="A817" s="48"/>
      <c r="C817" s="79"/>
      <c r="D817" s="36"/>
      <c r="E817" s="74"/>
      <c r="F817" s="74"/>
      <c r="G817" s="74"/>
      <c r="H817" s="74"/>
      <c r="I817" s="74"/>
      <c r="J817" s="74"/>
      <c r="K817" s="74"/>
      <c r="L817" s="74"/>
      <c r="P817" s="74"/>
    </row>
    <row r="818">
      <c r="A818" s="48"/>
      <c r="C818" s="79"/>
      <c r="D818" s="36"/>
      <c r="E818" s="74"/>
      <c r="F818" s="74"/>
      <c r="G818" s="74"/>
      <c r="H818" s="74"/>
      <c r="I818" s="74"/>
      <c r="J818" s="74"/>
      <c r="K818" s="74"/>
      <c r="L818" s="74"/>
      <c r="P818" s="74"/>
    </row>
    <row r="819">
      <c r="A819" s="48"/>
      <c r="C819" s="79"/>
      <c r="D819" s="36"/>
      <c r="E819" s="74"/>
      <c r="F819" s="74"/>
      <c r="G819" s="74"/>
      <c r="H819" s="74"/>
      <c r="I819" s="74"/>
      <c r="J819" s="74"/>
      <c r="K819" s="74"/>
      <c r="L819" s="74"/>
      <c r="P819" s="74"/>
    </row>
    <row r="820">
      <c r="A820" s="48"/>
      <c r="C820" s="79"/>
      <c r="D820" s="36"/>
      <c r="E820" s="74"/>
      <c r="F820" s="74"/>
      <c r="G820" s="74"/>
      <c r="H820" s="74"/>
      <c r="I820" s="74"/>
      <c r="J820" s="74"/>
      <c r="K820" s="74"/>
      <c r="L820" s="74"/>
      <c r="P820" s="74"/>
    </row>
    <row r="821">
      <c r="A821" s="48"/>
      <c r="C821" s="79"/>
      <c r="D821" s="36"/>
      <c r="E821" s="74"/>
      <c r="F821" s="74"/>
      <c r="G821" s="74"/>
      <c r="H821" s="74"/>
      <c r="I821" s="74"/>
      <c r="J821" s="74"/>
      <c r="K821" s="74"/>
      <c r="L821" s="74"/>
      <c r="P821" s="74"/>
    </row>
    <row r="822">
      <c r="A822" s="48"/>
      <c r="C822" s="79"/>
      <c r="D822" s="36"/>
      <c r="E822" s="74"/>
      <c r="F822" s="74"/>
      <c r="G822" s="74"/>
      <c r="H822" s="74"/>
      <c r="I822" s="74"/>
      <c r="J822" s="74"/>
      <c r="K822" s="74"/>
      <c r="L822" s="74"/>
      <c r="P822" s="74"/>
    </row>
    <row r="823">
      <c r="A823" s="48"/>
      <c r="C823" s="79"/>
      <c r="D823" s="36"/>
      <c r="E823" s="74"/>
      <c r="F823" s="74"/>
      <c r="G823" s="74"/>
      <c r="H823" s="74"/>
      <c r="I823" s="74"/>
      <c r="J823" s="74"/>
      <c r="K823" s="74"/>
      <c r="L823" s="74"/>
      <c r="P823" s="74"/>
    </row>
    <row r="824">
      <c r="A824" s="48"/>
      <c r="C824" s="79"/>
      <c r="D824" s="36"/>
      <c r="E824" s="74"/>
      <c r="F824" s="74"/>
      <c r="G824" s="74"/>
      <c r="H824" s="74"/>
      <c r="I824" s="74"/>
      <c r="J824" s="74"/>
      <c r="K824" s="74"/>
      <c r="L824" s="74"/>
      <c r="P824" s="74"/>
    </row>
    <row r="825">
      <c r="A825" s="48"/>
      <c r="C825" s="79"/>
      <c r="D825" s="36"/>
      <c r="E825" s="74"/>
      <c r="F825" s="74"/>
      <c r="G825" s="74"/>
      <c r="H825" s="74"/>
      <c r="I825" s="74"/>
      <c r="J825" s="74"/>
      <c r="K825" s="74"/>
      <c r="L825" s="74"/>
      <c r="P825" s="74"/>
    </row>
    <row r="826">
      <c r="A826" s="48"/>
      <c r="C826" s="79"/>
      <c r="D826" s="36"/>
      <c r="E826" s="74"/>
      <c r="F826" s="74"/>
      <c r="G826" s="74"/>
      <c r="H826" s="74"/>
      <c r="I826" s="74"/>
      <c r="J826" s="74"/>
      <c r="K826" s="74"/>
      <c r="L826" s="74"/>
      <c r="P826" s="74"/>
    </row>
    <row r="827">
      <c r="A827" s="48"/>
      <c r="C827" s="79"/>
      <c r="D827" s="36"/>
      <c r="E827" s="74"/>
      <c r="F827" s="74"/>
      <c r="G827" s="74"/>
      <c r="H827" s="74"/>
      <c r="I827" s="74"/>
      <c r="J827" s="74"/>
      <c r="K827" s="74"/>
      <c r="L827" s="74"/>
      <c r="P827" s="74"/>
    </row>
    <row r="828">
      <c r="A828" s="48"/>
      <c r="C828" s="79"/>
      <c r="D828" s="36"/>
      <c r="E828" s="74"/>
      <c r="F828" s="74"/>
      <c r="G828" s="74"/>
      <c r="H828" s="74"/>
      <c r="I828" s="74"/>
      <c r="J828" s="74"/>
      <c r="K828" s="74"/>
      <c r="L828" s="74"/>
      <c r="P828" s="74"/>
    </row>
    <row r="829">
      <c r="A829" s="48"/>
      <c r="C829" s="79"/>
      <c r="D829" s="36"/>
      <c r="E829" s="74"/>
      <c r="F829" s="74"/>
      <c r="G829" s="74"/>
      <c r="H829" s="74"/>
      <c r="I829" s="74"/>
      <c r="J829" s="74"/>
      <c r="K829" s="74"/>
      <c r="L829" s="74"/>
      <c r="P829" s="74"/>
    </row>
    <row r="830">
      <c r="A830" s="48"/>
      <c r="C830" s="79"/>
      <c r="D830" s="36"/>
      <c r="E830" s="74"/>
      <c r="F830" s="74"/>
      <c r="G830" s="74"/>
      <c r="H830" s="74"/>
      <c r="I830" s="74"/>
      <c r="J830" s="74"/>
      <c r="K830" s="74"/>
      <c r="L830" s="74"/>
      <c r="P830" s="74"/>
    </row>
    <row r="831">
      <c r="A831" s="48"/>
      <c r="C831" s="79"/>
      <c r="D831" s="36"/>
      <c r="E831" s="74"/>
      <c r="F831" s="74"/>
      <c r="G831" s="74"/>
      <c r="H831" s="74"/>
      <c r="I831" s="74"/>
      <c r="J831" s="74"/>
      <c r="K831" s="74"/>
      <c r="L831" s="74"/>
      <c r="P831" s="74"/>
    </row>
    <row r="832">
      <c r="A832" s="48"/>
      <c r="C832" s="79"/>
      <c r="D832" s="36"/>
      <c r="E832" s="74"/>
      <c r="F832" s="74"/>
      <c r="G832" s="74"/>
      <c r="H832" s="74"/>
      <c r="I832" s="74"/>
      <c r="J832" s="74"/>
      <c r="K832" s="74"/>
      <c r="L832" s="74"/>
      <c r="P832" s="74"/>
    </row>
    <row r="833">
      <c r="A833" s="48"/>
      <c r="C833" s="79"/>
      <c r="D833" s="36"/>
      <c r="E833" s="74"/>
      <c r="F833" s="74"/>
      <c r="G833" s="74"/>
      <c r="H833" s="74"/>
      <c r="I833" s="74"/>
      <c r="J833" s="74"/>
      <c r="K833" s="74"/>
      <c r="L833" s="74"/>
      <c r="P833" s="74"/>
    </row>
    <row r="834">
      <c r="A834" s="48"/>
      <c r="C834" s="79"/>
      <c r="D834" s="36"/>
      <c r="E834" s="74"/>
      <c r="F834" s="74"/>
      <c r="G834" s="74"/>
      <c r="H834" s="74"/>
      <c r="I834" s="74"/>
      <c r="J834" s="74"/>
      <c r="K834" s="74"/>
      <c r="L834" s="74"/>
      <c r="P834" s="74"/>
    </row>
    <row r="835">
      <c r="A835" s="48"/>
      <c r="C835" s="79"/>
      <c r="D835" s="36"/>
      <c r="E835" s="74"/>
      <c r="F835" s="74"/>
      <c r="G835" s="74"/>
      <c r="H835" s="74"/>
      <c r="I835" s="74"/>
      <c r="J835" s="74"/>
      <c r="K835" s="74"/>
      <c r="L835" s="74"/>
      <c r="P835" s="74"/>
    </row>
    <row r="836">
      <c r="A836" s="48"/>
      <c r="C836" s="79"/>
      <c r="D836" s="36"/>
      <c r="E836" s="74"/>
      <c r="F836" s="74"/>
      <c r="G836" s="74"/>
      <c r="H836" s="74"/>
      <c r="I836" s="74"/>
      <c r="J836" s="74"/>
      <c r="K836" s="74"/>
      <c r="L836" s="74"/>
      <c r="P836" s="74"/>
    </row>
    <row r="837">
      <c r="A837" s="48"/>
      <c r="C837" s="79"/>
      <c r="D837" s="36"/>
      <c r="E837" s="74"/>
      <c r="F837" s="74"/>
      <c r="G837" s="74"/>
      <c r="H837" s="74"/>
      <c r="I837" s="74"/>
      <c r="J837" s="74"/>
      <c r="K837" s="74"/>
      <c r="L837" s="74"/>
      <c r="P837" s="74"/>
    </row>
    <row r="838">
      <c r="A838" s="48"/>
      <c r="C838" s="79"/>
      <c r="D838" s="36"/>
      <c r="E838" s="74"/>
      <c r="F838" s="74"/>
      <c r="G838" s="74"/>
      <c r="H838" s="74"/>
      <c r="I838" s="74"/>
      <c r="J838" s="74"/>
      <c r="K838" s="74"/>
      <c r="L838" s="74"/>
      <c r="P838" s="74"/>
    </row>
    <row r="839">
      <c r="A839" s="48"/>
      <c r="C839" s="79"/>
      <c r="D839" s="36"/>
      <c r="E839" s="74"/>
      <c r="F839" s="74"/>
      <c r="G839" s="74"/>
      <c r="H839" s="74"/>
      <c r="I839" s="74"/>
      <c r="J839" s="74"/>
      <c r="K839" s="74"/>
      <c r="L839" s="74"/>
      <c r="P839" s="74"/>
    </row>
    <row r="840">
      <c r="A840" s="48"/>
      <c r="C840" s="79"/>
      <c r="D840" s="36"/>
      <c r="E840" s="74"/>
      <c r="F840" s="74"/>
      <c r="G840" s="74"/>
      <c r="H840" s="74"/>
      <c r="I840" s="74"/>
      <c r="J840" s="74"/>
      <c r="K840" s="74"/>
      <c r="L840" s="74"/>
      <c r="P840" s="74"/>
    </row>
    <row r="841">
      <c r="A841" s="48"/>
      <c r="C841" s="79"/>
      <c r="D841" s="36"/>
      <c r="E841" s="74"/>
      <c r="F841" s="74"/>
      <c r="G841" s="74"/>
      <c r="H841" s="74"/>
      <c r="I841" s="74"/>
      <c r="J841" s="74"/>
      <c r="K841" s="74"/>
      <c r="L841" s="74"/>
      <c r="P841" s="74"/>
    </row>
    <row r="842">
      <c r="A842" s="48"/>
      <c r="C842" s="79"/>
      <c r="D842" s="36"/>
      <c r="E842" s="74"/>
      <c r="F842" s="74"/>
      <c r="G842" s="74"/>
      <c r="H842" s="74"/>
      <c r="I842" s="74"/>
      <c r="J842" s="74"/>
      <c r="K842" s="74"/>
      <c r="L842" s="74"/>
      <c r="P842" s="74"/>
    </row>
    <row r="843">
      <c r="A843" s="48"/>
      <c r="C843" s="79"/>
      <c r="D843" s="36"/>
      <c r="E843" s="74"/>
      <c r="F843" s="74"/>
      <c r="G843" s="74"/>
      <c r="H843" s="74"/>
      <c r="I843" s="74"/>
      <c r="J843" s="74"/>
      <c r="K843" s="74"/>
      <c r="L843" s="74"/>
      <c r="P843" s="74"/>
    </row>
    <row r="844">
      <c r="A844" s="48"/>
      <c r="C844" s="79"/>
      <c r="D844" s="36"/>
      <c r="E844" s="74"/>
      <c r="F844" s="74"/>
      <c r="G844" s="74"/>
      <c r="H844" s="74"/>
      <c r="I844" s="74"/>
      <c r="J844" s="74"/>
      <c r="K844" s="74"/>
      <c r="L844" s="74"/>
      <c r="P844" s="74"/>
    </row>
    <row r="845">
      <c r="A845" s="48"/>
      <c r="C845" s="79"/>
      <c r="D845" s="36"/>
      <c r="E845" s="74"/>
      <c r="F845" s="74"/>
      <c r="G845" s="74"/>
      <c r="H845" s="74"/>
      <c r="I845" s="74"/>
      <c r="J845" s="74"/>
      <c r="K845" s="74"/>
      <c r="L845" s="74"/>
      <c r="P845" s="74"/>
    </row>
    <row r="846">
      <c r="A846" s="48"/>
      <c r="C846" s="79"/>
      <c r="D846" s="36"/>
      <c r="E846" s="74"/>
      <c r="F846" s="74"/>
      <c r="G846" s="74"/>
      <c r="H846" s="74"/>
      <c r="I846" s="74"/>
      <c r="J846" s="74"/>
      <c r="K846" s="74"/>
      <c r="L846" s="74"/>
      <c r="P846" s="74"/>
    </row>
    <row r="847">
      <c r="A847" s="48"/>
      <c r="C847" s="79"/>
      <c r="D847" s="36"/>
      <c r="E847" s="74"/>
      <c r="F847" s="74"/>
      <c r="G847" s="74"/>
      <c r="H847" s="74"/>
      <c r="I847" s="74"/>
      <c r="J847" s="74"/>
      <c r="K847" s="74"/>
      <c r="L847" s="74"/>
      <c r="P847" s="74"/>
    </row>
    <row r="848">
      <c r="A848" s="48"/>
      <c r="C848" s="79"/>
      <c r="D848" s="36"/>
      <c r="E848" s="74"/>
      <c r="F848" s="74"/>
      <c r="G848" s="74"/>
      <c r="H848" s="74"/>
      <c r="I848" s="74"/>
      <c r="J848" s="74"/>
      <c r="K848" s="74"/>
      <c r="L848" s="74"/>
      <c r="P848" s="74"/>
    </row>
    <row r="849">
      <c r="A849" s="48"/>
      <c r="C849" s="79"/>
      <c r="D849" s="36"/>
      <c r="E849" s="74"/>
      <c r="F849" s="74"/>
      <c r="G849" s="74"/>
      <c r="H849" s="74"/>
      <c r="I849" s="74"/>
      <c r="J849" s="74"/>
      <c r="K849" s="74"/>
      <c r="L849" s="74"/>
      <c r="P849" s="74"/>
    </row>
    <row r="850">
      <c r="A850" s="48"/>
      <c r="C850" s="79"/>
      <c r="D850" s="36"/>
      <c r="E850" s="74"/>
      <c r="F850" s="74"/>
      <c r="G850" s="74"/>
      <c r="H850" s="74"/>
      <c r="I850" s="74"/>
      <c r="J850" s="74"/>
      <c r="K850" s="74"/>
      <c r="L850" s="74"/>
      <c r="P850" s="74"/>
    </row>
    <row r="851">
      <c r="A851" s="48"/>
      <c r="C851" s="79"/>
      <c r="D851" s="36"/>
      <c r="E851" s="74"/>
      <c r="F851" s="74"/>
      <c r="G851" s="74"/>
      <c r="H851" s="74"/>
      <c r="I851" s="74"/>
      <c r="J851" s="74"/>
      <c r="K851" s="74"/>
      <c r="L851" s="74"/>
      <c r="P851" s="74"/>
    </row>
    <row r="852">
      <c r="A852" s="48"/>
      <c r="C852" s="79"/>
      <c r="D852" s="36"/>
      <c r="E852" s="74"/>
      <c r="F852" s="74"/>
      <c r="G852" s="74"/>
      <c r="H852" s="74"/>
      <c r="I852" s="74"/>
      <c r="J852" s="74"/>
      <c r="K852" s="74"/>
      <c r="L852" s="74"/>
      <c r="P852" s="74"/>
    </row>
    <row r="853">
      <c r="A853" s="48"/>
      <c r="C853" s="79"/>
      <c r="D853" s="36"/>
      <c r="E853" s="74"/>
      <c r="F853" s="74"/>
      <c r="G853" s="74"/>
      <c r="H853" s="74"/>
      <c r="I853" s="74"/>
      <c r="J853" s="74"/>
      <c r="K853" s="74"/>
      <c r="L853" s="74"/>
      <c r="P853" s="74"/>
    </row>
    <row r="854">
      <c r="A854" s="48"/>
      <c r="C854" s="79"/>
      <c r="D854" s="36"/>
      <c r="E854" s="74"/>
      <c r="F854" s="74"/>
      <c r="G854" s="74"/>
      <c r="H854" s="74"/>
      <c r="I854" s="74"/>
      <c r="J854" s="74"/>
      <c r="K854" s="74"/>
      <c r="L854" s="74"/>
      <c r="P854" s="74"/>
    </row>
    <row r="855">
      <c r="A855" s="48"/>
      <c r="C855" s="79"/>
      <c r="D855" s="36"/>
      <c r="E855" s="74"/>
      <c r="F855" s="74"/>
      <c r="G855" s="74"/>
      <c r="H855" s="74"/>
      <c r="I855" s="74"/>
      <c r="J855" s="74"/>
      <c r="K855" s="74"/>
      <c r="L855" s="74"/>
      <c r="P855" s="74"/>
    </row>
    <row r="856">
      <c r="A856" s="48"/>
      <c r="C856" s="79"/>
      <c r="D856" s="36"/>
      <c r="E856" s="74"/>
      <c r="F856" s="74"/>
      <c r="G856" s="74"/>
      <c r="H856" s="74"/>
      <c r="I856" s="74"/>
      <c r="J856" s="74"/>
      <c r="K856" s="74"/>
      <c r="L856" s="74"/>
      <c r="P856" s="74"/>
    </row>
    <row r="857">
      <c r="A857" s="48"/>
      <c r="C857" s="79"/>
      <c r="D857" s="36"/>
      <c r="E857" s="74"/>
      <c r="F857" s="74"/>
      <c r="G857" s="74"/>
      <c r="H857" s="74"/>
      <c r="I857" s="74"/>
      <c r="J857" s="74"/>
      <c r="K857" s="74"/>
      <c r="L857" s="74"/>
      <c r="P857" s="74"/>
    </row>
    <row r="858">
      <c r="A858" s="48"/>
      <c r="C858" s="79"/>
      <c r="D858" s="36"/>
      <c r="E858" s="74"/>
      <c r="F858" s="74"/>
      <c r="G858" s="74"/>
      <c r="H858" s="74"/>
      <c r="I858" s="74"/>
      <c r="J858" s="74"/>
      <c r="K858" s="74"/>
      <c r="L858" s="74"/>
      <c r="P858" s="74"/>
    </row>
    <row r="859">
      <c r="A859" s="48"/>
      <c r="C859" s="79"/>
      <c r="D859" s="36"/>
      <c r="E859" s="74"/>
      <c r="F859" s="74"/>
      <c r="G859" s="74"/>
      <c r="H859" s="74"/>
      <c r="I859" s="74"/>
      <c r="J859" s="74"/>
      <c r="K859" s="74"/>
      <c r="L859" s="74"/>
      <c r="P859" s="74"/>
    </row>
    <row r="860">
      <c r="A860" s="48"/>
      <c r="C860" s="79"/>
      <c r="D860" s="36"/>
      <c r="E860" s="74"/>
      <c r="F860" s="74"/>
      <c r="G860" s="74"/>
      <c r="H860" s="74"/>
      <c r="I860" s="74"/>
      <c r="J860" s="74"/>
      <c r="K860" s="74"/>
      <c r="L860" s="74"/>
      <c r="P860" s="74"/>
    </row>
    <row r="861">
      <c r="A861" s="48"/>
      <c r="C861" s="79"/>
      <c r="D861" s="36"/>
      <c r="E861" s="74"/>
      <c r="F861" s="74"/>
      <c r="G861" s="74"/>
      <c r="H861" s="74"/>
      <c r="I861" s="74"/>
      <c r="J861" s="74"/>
      <c r="K861" s="74"/>
      <c r="L861" s="74"/>
      <c r="P861" s="74"/>
    </row>
    <row r="862">
      <c r="A862" s="48"/>
      <c r="C862" s="79"/>
      <c r="D862" s="36"/>
      <c r="E862" s="74"/>
      <c r="F862" s="74"/>
      <c r="G862" s="74"/>
      <c r="H862" s="74"/>
      <c r="I862" s="74"/>
      <c r="J862" s="74"/>
      <c r="K862" s="74"/>
      <c r="L862" s="74"/>
      <c r="P862" s="74"/>
    </row>
    <row r="863">
      <c r="A863" s="48"/>
      <c r="C863" s="79"/>
      <c r="D863" s="36"/>
      <c r="E863" s="74"/>
      <c r="F863" s="74"/>
      <c r="G863" s="74"/>
      <c r="H863" s="74"/>
      <c r="I863" s="74"/>
      <c r="J863" s="74"/>
      <c r="K863" s="74"/>
      <c r="L863" s="74"/>
      <c r="P863" s="74"/>
    </row>
    <row r="864">
      <c r="A864" s="48"/>
      <c r="C864" s="79"/>
      <c r="D864" s="36"/>
      <c r="E864" s="74"/>
      <c r="F864" s="74"/>
      <c r="G864" s="74"/>
      <c r="H864" s="74"/>
      <c r="I864" s="74"/>
      <c r="J864" s="74"/>
      <c r="K864" s="74"/>
      <c r="L864" s="74"/>
      <c r="P864" s="74"/>
    </row>
    <row r="865">
      <c r="A865" s="48"/>
      <c r="C865" s="79"/>
      <c r="D865" s="36"/>
      <c r="E865" s="74"/>
      <c r="F865" s="74"/>
      <c r="G865" s="74"/>
      <c r="H865" s="74"/>
      <c r="I865" s="74"/>
      <c r="J865" s="74"/>
      <c r="K865" s="74"/>
      <c r="L865" s="74"/>
      <c r="P865" s="74"/>
    </row>
    <row r="866">
      <c r="A866" s="48"/>
      <c r="C866" s="79"/>
      <c r="D866" s="36"/>
      <c r="E866" s="74"/>
      <c r="F866" s="74"/>
      <c r="G866" s="74"/>
      <c r="H866" s="74"/>
      <c r="I866" s="74"/>
      <c r="J866" s="74"/>
      <c r="K866" s="74"/>
      <c r="L866" s="74"/>
      <c r="P866" s="74"/>
    </row>
    <row r="867">
      <c r="A867" s="48"/>
      <c r="C867" s="79"/>
      <c r="D867" s="36"/>
      <c r="E867" s="74"/>
      <c r="F867" s="74"/>
      <c r="G867" s="74"/>
      <c r="H867" s="74"/>
      <c r="I867" s="74"/>
      <c r="J867" s="74"/>
      <c r="K867" s="74"/>
      <c r="L867" s="74"/>
      <c r="P867" s="74"/>
    </row>
    <row r="868">
      <c r="A868" s="48"/>
      <c r="C868" s="79"/>
      <c r="D868" s="36"/>
      <c r="E868" s="74"/>
      <c r="F868" s="74"/>
      <c r="G868" s="74"/>
      <c r="H868" s="74"/>
      <c r="I868" s="74"/>
      <c r="J868" s="74"/>
      <c r="K868" s="74"/>
      <c r="L868" s="74"/>
      <c r="P868" s="74"/>
    </row>
    <row r="869">
      <c r="A869" s="48"/>
      <c r="C869" s="79"/>
      <c r="D869" s="36"/>
      <c r="E869" s="74"/>
      <c r="F869" s="74"/>
      <c r="G869" s="74"/>
      <c r="H869" s="74"/>
      <c r="I869" s="74"/>
      <c r="J869" s="74"/>
      <c r="K869" s="74"/>
      <c r="L869" s="74"/>
      <c r="P869" s="74"/>
    </row>
    <row r="870">
      <c r="A870" s="48"/>
      <c r="C870" s="79"/>
      <c r="D870" s="36"/>
      <c r="E870" s="74"/>
      <c r="F870" s="74"/>
      <c r="G870" s="74"/>
      <c r="H870" s="74"/>
      <c r="I870" s="74"/>
      <c r="J870" s="74"/>
      <c r="K870" s="74"/>
      <c r="L870" s="74"/>
      <c r="P870" s="74"/>
    </row>
    <row r="871">
      <c r="A871" s="48"/>
      <c r="C871" s="79"/>
      <c r="D871" s="36"/>
      <c r="E871" s="74"/>
      <c r="F871" s="74"/>
      <c r="G871" s="74"/>
      <c r="H871" s="74"/>
      <c r="I871" s="74"/>
      <c r="J871" s="74"/>
      <c r="K871" s="74"/>
      <c r="L871" s="74"/>
      <c r="P871" s="74"/>
    </row>
    <row r="872">
      <c r="A872" s="48"/>
      <c r="C872" s="79"/>
      <c r="D872" s="36"/>
      <c r="E872" s="74"/>
      <c r="F872" s="74"/>
      <c r="G872" s="74"/>
      <c r="H872" s="74"/>
      <c r="I872" s="74"/>
      <c r="J872" s="74"/>
      <c r="K872" s="74"/>
      <c r="L872" s="74"/>
      <c r="P872" s="74"/>
    </row>
    <row r="873">
      <c r="A873" s="48"/>
      <c r="C873" s="79"/>
      <c r="D873" s="36"/>
      <c r="E873" s="74"/>
      <c r="F873" s="74"/>
      <c r="G873" s="74"/>
      <c r="H873" s="74"/>
      <c r="I873" s="74"/>
      <c r="J873" s="74"/>
      <c r="K873" s="74"/>
      <c r="L873" s="74"/>
      <c r="P873" s="74"/>
    </row>
    <row r="874">
      <c r="A874" s="48"/>
      <c r="C874" s="79"/>
      <c r="D874" s="36"/>
      <c r="E874" s="74"/>
      <c r="F874" s="74"/>
      <c r="G874" s="74"/>
      <c r="H874" s="74"/>
      <c r="I874" s="74"/>
      <c r="J874" s="74"/>
      <c r="K874" s="74"/>
      <c r="L874" s="74"/>
      <c r="P874" s="74"/>
    </row>
    <row r="875">
      <c r="A875" s="48"/>
      <c r="C875" s="79"/>
      <c r="D875" s="36"/>
      <c r="E875" s="74"/>
      <c r="F875" s="74"/>
      <c r="G875" s="74"/>
      <c r="H875" s="74"/>
      <c r="I875" s="74"/>
      <c r="J875" s="74"/>
      <c r="K875" s="74"/>
      <c r="L875" s="74"/>
      <c r="P875" s="74"/>
    </row>
    <row r="876">
      <c r="A876" s="48"/>
      <c r="C876" s="79"/>
      <c r="D876" s="36"/>
      <c r="E876" s="74"/>
      <c r="F876" s="74"/>
      <c r="G876" s="74"/>
      <c r="H876" s="74"/>
      <c r="I876" s="74"/>
      <c r="J876" s="74"/>
      <c r="K876" s="74"/>
      <c r="L876" s="74"/>
      <c r="P876" s="74"/>
    </row>
    <row r="877">
      <c r="A877" s="48"/>
      <c r="C877" s="79"/>
      <c r="D877" s="36"/>
      <c r="E877" s="74"/>
      <c r="F877" s="74"/>
      <c r="G877" s="74"/>
      <c r="H877" s="74"/>
      <c r="I877" s="74"/>
      <c r="J877" s="74"/>
      <c r="K877" s="74"/>
      <c r="L877" s="74"/>
      <c r="P877" s="74"/>
    </row>
    <row r="878">
      <c r="A878" s="48"/>
      <c r="C878" s="79"/>
      <c r="D878" s="36"/>
      <c r="E878" s="74"/>
      <c r="F878" s="74"/>
      <c r="G878" s="74"/>
      <c r="H878" s="74"/>
      <c r="I878" s="74"/>
      <c r="J878" s="74"/>
      <c r="K878" s="74"/>
      <c r="L878" s="74"/>
      <c r="P878" s="74"/>
    </row>
    <row r="879">
      <c r="A879" s="48"/>
      <c r="C879" s="79"/>
      <c r="D879" s="36"/>
      <c r="E879" s="74"/>
      <c r="F879" s="74"/>
      <c r="G879" s="74"/>
      <c r="H879" s="74"/>
      <c r="I879" s="74"/>
      <c r="J879" s="74"/>
      <c r="K879" s="74"/>
      <c r="L879" s="74"/>
      <c r="P879" s="74"/>
    </row>
    <row r="880">
      <c r="A880" s="48"/>
      <c r="C880" s="79"/>
      <c r="D880" s="36"/>
      <c r="E880" s="74"/>
      <c r="F880" s="74"/>
      <c r="G880" s="74"/>
      <c r="H880" s="74"/>
      <c r="I880" s="74"/>
      <c r="J880" s="74"/>
      <c r="K880" s="74"/>
      <c r="L880" s="74"/>
      <c r="P880" s="74"/>
    </row>
    <row r="881">
      <c r="A881" s="48"/>
      <c r="C881" s="79"/>
      <c r="D881" s="36"/>
      <c r="E881" s="74"/>
      <c r="F881" s="74"/>
      <c r="G881" s="74"/>
      <c r="H881" s="74"/>
      <c r="I881" s="74"/>
      <c r="J881" s="74"/>
      <c r="K881" s="74"/>
      <c r="L881" s="74"/>
      <c r="P881" s="74"/>
    </row>
    <row r="882">
      <c r="A882" s="48"/>
      <c r="C882" s="79"/>
      <c r="D882" s="36"/>
      <c r="E882" s="74"/>
      <c r="F882" s="74"/>
      <c r="G882" s="74"/>
      <c r="H882" s="74"/>
      <c r="I882" s="74"/>
      <c r="J882" s="74"/>
      <c r="K882" s="74"/>
      <c r="L882" s="74"/>
      <c r="P882" s="74"/>
    </row>
    <row r="883">
      <c r="A883" s="48"/>
      <c r="C883" s="79"/>
      <c r="D883" s="36"/>
      <c r="E883" s="74"/>
      <c r="F883" s="74"/>
      <c r="G883" s="74"/>
      <c r="H883" s="74"/>
      <c r="I883" s="74"/>
      <c r="J883" s="74"/>
      <c r="K883" s="74"/>
      <c r="L883" s="74"/>
      <c r="P883" s="74"/>
    </row>
    <row r="884">
      <c r="A884" s="48"/>
      <c r="C884" s="79"/>
      <c r="D884" s="36"/>
      <c r="E884" s="74"/>
      <c r="F884" s="74"/>
      <c r="G884" s="74"/>
      <c r="H884" s="74"/>
      <c r="I884" s="74"/>
      <c r="J884" s="74"/>
      <c r="K884" s="74"/>
      <c r="L884" s="74"/>
      <c r="P884" s="74"/>
    </row>
    <row r="885">
      <c r="A885" s="48"/>
      <c r="C885" s="79"/>
      <c r="D885" s="36"/>
      <c r="E885" s="74"/>
      <c r="F885" s="74"/>
      <c r="G885" s="74"/>
      <c r="H885" s="74"/>
      <c r="I885" s="74"/>
      <c r="J885" s="74"/>
      <c r="K885" s="74"/>
      <c r="L885" s="74"/>
      <c r="P885" s="74"/>
    </row>
    <row r="886">
      <c r="A886" s="48"/>
      <c r="C886" s="79"/>
      <c r="D886" s="36"/>
      <c r="E886" s="74"/>
      <c r="F886" s="74"/>
      <c r="G886" s="74"/>
      <c r="H886" s="74"/>
      <c r="I886" s="74"/>
      <c r="J886" s="74"/>
      <c r="K886" s="74"/>
      <c r="L886" s="74"/>
      <c r="P886" s="74"/>
    </row>
    <row r="887">
      <c r="A887" s="48"/>
      <c r="C887" s="79"/>
      <c r="D887" s="36"/>
      <c r="E887" s="74"/>
      <c r="F887" s="74"/>
      <c r="G887" s="74"/>
      <c r="H887" s="74"/>
      <c r="I887" s="74"/>
      <c r="J887" s="74"/>
      <c r="K887" s="74"/>
      <c r="L887" s="74"/>
      <c r="P887" s="74"/>
    </row>
    <row r="888">
      <c r="A888" s="48"/>
      <c r="C888" s="79"/>
      <c r="D888" s="36"/>
      <c r="E888" s="74"/>
      <c r="F888" s="74"/>
      <c r="G888" s="74"/>
      <c r="H888" s="74"/>
      <c r="I888" s="74"/>
      <c r="J888" s="74"/>
      <c r="K888" s="74"/>
      <c r="L888" s="74"/>
      <c r="P888" s="74"/>
    </row>
    <row r="889">
      <c r="A889" s="48"/>
      <c r="C889" s="79"/>
      <c r="D889" s="36"/>
      <c r="E889" s="74"/>
      <c r="F889" s="74"/>
      <c r="G889" s="74"/>
      <c r="H889" s="74"/>
      <c r="I889" s="74"/>
      <c r="J889" s="74"/>
      <c r="K889" s="74"/>
      <c r="L889" s="74"/>
      <c r="P889" s="74"/>
    </row>
    <row r="890">
      <c r="A890" s="48"/>
      <c r="C890" s="79"/>
      <c r="D890" s="36"/>
      <c r="E890" s="74"/>
      <c r="F890" s="74"/>
      <c r="G890" s="74"/>
      <c r="H890" s="74"/>
      <c r="I890" s="74"/>
      <c r="J890" s="74"/>
      <c r="K890" s="74"/>
      <c r="L890" s="74"/>
      <c r="P890" s="74"/>
    </row>
    <row r="891">
      <c r="A891" s="48"/>
      <c r="C891" s="79"/>
      <c r="D891" s="36"/>
      <c r="E891" s="74"/>
      <c r="F891" s="74"/>
      <c r="G891" s="74"/>
      <c r="H891" s="74"/>
      <c r="I891" s="74"/>
      <c r="J891" s="74"/>
      <c r="K891" s="74"/>
      <c r="L891" s="74"/>
      <c r="P891" s="74"/>
    </row>
    <row r="892">
      <c r="A892" s="48"/>
      <c r="C892" s="79"/>
      <c r="D892" s="36"/>
      <c r="E892" s="74"/>
      <c r="F892" s="74"/>
      <c r="G892" s="74"/>
      <c r="H892" s="74"/>
      <c r="I892" s="74"/>
      <c r="J892" s="74"/>
      <c r="K892" s="74"/>
      <c r="L892" s="74"/>
      <c r="P892" s="74"/>
    </row>
    <row r="893">
      <c r="A893" s="48"/>
      <c r="C893" s="79"/>
      <c r="D893" s="36"/>
      <c r="E893" s="74"/>
      <c r="F893" s="74"/>
      <c r="G893" s="74"/>
      <c r="H893" s="74"/>
      <c r="I893" s="74"/>
      <c r="J893" s="74"/>
      <c r="K893" s="74"/>
      <c r="L893" s="74"/>
      <c r="P893" s="74"/>
    </row>
    <row r="894">
      <c r="A894" s="48"/>
      <c r="C894" s="79"/>
      <c r="D894" s="36"/>
      <c r="E894" s="74"/>
      <c r="F894" s="74"/>
      <c r="G894" s="74"/>
      <c r="H894" s="74"/>
      <c r="I894" s="74"/>
      <c r="J894" s="74"/>
      <c r="K894" s="74"/>
      <c r="L894" s="74"/>
      <c r="P894" s="74"/>
    </row>
    <row r="895">
      <c r="A895" s="48"/>
      <c r="C895" s="79"/>
      <c r="D895" s="36"/>
      <c r="E895" s="74"/>
      <c r="F895" s="74"/>
      <c r="G895" s="74"/>
      <c r="H895" s="74"/>
      <c r="I895" s="74"/>
      <c r="J895" s="74"/>
      <c r="K895" s="74"/>
      <c r="L895" s="74"/>
      <c r="P895" s="74"/>
    </row>
    <row r="896">
      <c r="A896" s="48"/>
      <c r="C896" s="79"/>
      <c r="D896" s="36"/>
      <c r="E896" s="74"/>
      <c r="F896" s="74"/>
      <c r="G896" s="74"/>
      <c r="H896" s="74"/>
      <c r="I896" s="74"/>
      <c r="J896" s="74"/>
      <c r="K896" s="74"/>
      <c r="L896" s="74"/>
      <c r="P896" s="74"/>
    </row>
    <row r="897">
      <c r="A897" s="48"/>
      <c r="C897" s="79"/>
      <c r="D897" s="36"/>
      <c r="E897" s="74"/>
      <c r="F897" s="74"/>
      <c r="G897" s="74"/>
      <c r="H897" s="74"/>
      <c r="I897" s="74"/>
      <c r="J897" s="74"/>
      <c r="K897" s="74"/>
      <c r="L897" s="74"/>
      <c r="P897" s="74"/>
    </row>
    <row r="898">
      <c r="A898" s="48"/>
      <c r="C898" s="79"/>
      <c r="D898" s="36"/>
      <c r="E898" s="74"/>
      <c r="F898" s="74"/>
      <c r="G898" s="74"/>
      <c r="H898" s="74"/>
      <c r="I898" s="74"/>
      <c r="J898" s="74"/>
      <c r="K898" s="74"/>
      <c r="L898" s="74"/>
      <c r="P898" s="74"/>
    </row>
    <row r="899">
      <c r="A899" s="48"/>
      <c r="C899" s="79"/>
      <c r="D899" s="36"/>
      <c r="E899" s="74"/>
      <c r="F899" s="74"/>
      <c r="G899" s="74"/>
      <c r="H899" s="74"/>
      <c r="I899" s="74"/>
      <c r="J899" s="74"/>
      <c r="K899" s="74"/>
      <c r="L899" s="74"/>
      <c r="P899" s="74"/>
    </row>
    <row r="900">
      <c r="A900" s="48"/>
      <c r="C900" s="79"/>
      <c r="D900" s="36"/>
      <c r="E900" s="74"/>
      <c r="F900" s="74"/>
      <c r="G900" s="74"/>
      <c r="H900" s="74"/>
      <c r="I900" s="74"/>
      <c r="J900" s="74"/>
      <c r="K900" s="74"/>
      <c r="L900" s="74"/>
      <c r="P900" s="74"/>
    </row>
    <row r="901">
      <c r="A901" s="48"/>
      <c r="C901" s="79"/>
      <c r="D901" s="36"/>
      <c r="E901" s="74"/>
      <c r="F901" s="74"/>
      <c r="G901" s="74"/>
      <c r="H901" s="74"/>
      <c r="I901" s="74"/>
      <c r="J901" s="74"/>
      <c r="K901" s="74"/>
      <c r="L901" s="74"/>
      <c r="P901" s="74"/>
    </row>
    <row r="902">
      <c r="A902" s="48"/>
      <c r="C902" s="79"/>
      <c r="D902" s="36"/>
      <c r="E902" s="74"/>
      <c r="F902" s="74"/>
      <c r="G902" s="74"/>
      <c r="H902" s="74"/>
      <c r="I902" s="74"/>
      <c r="J902" s="74"/>
      <c r="K902" s="74"/>
      <c r="L902" s="74"/>
      <c r="P902" s="74"/>
    </row>
    <row r="903">
      <c r="A903" s="48"/>
      <c r="C903" s="79"/>
      <c r="D903" s="36"/>
      <c r="E903" s="74"/>
      <c r="F903" s="74"/>
      <c r="G903" s="74"/>
      <c r="H903" s="74"/>
      <c r="I903" s="74"/>
      <c r="J903" s="74"/>
      <c r="K903" s="74"/>
      <c r="L903" s="74"/>
      <c r="P903" s="74"/>
    </row>
    <row r="904">
      <c r="A904" s="48"/>
      <c r="C904" s="79"/>
      <c r="D904" s="36"/>
      <c r="E904" s="74"/>
      <c r="F904" s="74"/>
      <c r="G904" s="74"/>
      <c r="H904" s="74"/>
      <c r="I904" s="74"/>
      <c r="J904" s="74"/>
      <c r="K904" s="74"/>
      <c r="L904" s="74"/>
      <c r="P904" s="74"/>
    </row>
    <row r="905">
      <c r="A905" s="48"/>
      <c r="C905" s="79"/>
      <c r="D905" s="36"/>
      <c r="E905" s="74"/>
      <c r="F905" s="74"/>
      <c r="G905" s="74"/>
      <c r="H905" s="74"/>
      <c r="I905" s="74"/>
      <c r="J905" s="74"/>
      <c r="K905" s="74"/>
      <c r="L905" s="74"/>
      <c r="P905" s="74"/>
    </row>
    <row r="906">
      <c r="A906" s="48"/>
      <c r="C906" s="79"/>
      <c r="D906" s="36"/>
      <c r="E906" s="74"/>
      <c r="F906" s="74"/>
      <c r="G906" s="74"/>
      <c r="H906" s="74"/>
      <c r="I906" s="74"/>
      <c r="J906" s="74"/>
      <c r="K906" s="74"/>
      <c r="L906" s="74"/>
      <c r="P906" s="74"/>
    </row>
    <row r="907">
      <c r="A907" s="48"/>
      <c r="C907" s="79"/>
      <c r="D907" s="36"/>
      <c r="E907" s="74"/>
      <c r="F907" s="74"/>
      <c r="G907" s="74"/>
      <c r="H907" s="74"/>
      <c r="I907" s="74"/>
      <c r="J907" s="74"/>
      <c r="K907" s="74"/>
      <c r="L907" s="74"/>
      <c r="P907" s="74"/>
    </row>
    <row r="908">
      <c r="A908" s="48"/>
      <c r="C908" s="79"/>
      <c r="D908" s="36"/>
      <c r="E908" s="74"/>
      <c r="F908" s="74"/>
      <c r="G908" s="74"/>
      <c r="H908" s="74"/>
      <c r="I908" s="74"/>
      <c r="J908" s="74"/>
      <c r="K908" s="74"/>
      <c r="L908" s="74"/>
      <c r="P908" s="74"/>
    </row>
    <row r="909">
      <c r="A909" s="48"/>
      <c r="C909" s="79"/>
      <c r="D909" s="36"/>
      <c r="E909" s="74"/>
      <c r="F909" s="74"/>
      <c r="G909" s="74"/>
      <c r="H909" s="74"/>
      <c r="I909" s="74"/>
      <c r="J909" s="74"/>
      <c r="K909" s="74"/>
      <c r="L909" s="74"/>
      <c r="P909" s="74"/>
    </row>
    <row r="910">
      <c r="A910" s="48"/>
      <c r="C910" s="79"/>
      <c r="D910" s="36"/>
      <c r="E910" s="74"/>
      <c r="F910" s="74"/>
      <c r="G910" s="74"/>
      <c r="H910" s="74"/>
      <c r="I910" s="74"/>
      <c r="J910" s="74"/>
      <c r="K910" s="74"/>
      <c r="L910" s="74"/>
      <c r="P910" s="74"/>
    </row>
    <row r="911">
      <c r="A911" s="48"/>
      <c r="C911" s="79"/>
      <c r="D911" s="36"/>
      <c r="E911" s="74"/>
      <c r="F911" s="74"/>
      <c r="G911" s="74"/>
      <c r="H911" s="74"/>
      <c r="I911" s="74"/>
      <c r="J911" s="74"/>
      <c r="K911" s="74"/>
      <c r="L911" s="74"/>
      <c r="P911" s="74"/>
    </row>
    <row r="912">
      <c r="A912" s="48"/>
      <c r="C912" s="79"/>
      <c r="D912" s="36"/>
      <c r="E912" s="74"/>
      <c r="F912" s="74"/>
      <c r="G912" s="74"/>
      <c r="H912" s="74"/>
      <c r="I912" s="74"/>
      <c r="J912" s="74"/>
      <c r="K912" s="74"/>
      <c r="L912" s="74"/>
      <c r="P912" s="74"/>
    </row>
    <row r="913">
      <c r="A913" s="48"/>
      <c r="C913" s="79"/>
      <c r="D913" s="36"/>
      <c r="E913" s="74"/>
      <c r="F913" s="74"/>
      <c r="G913" s="74"/>
      <c r="H913" s="74"/>
      <c r="I913" s="74"/>
      <c r="J913" s="74"/>
      <c r="K913" s="74"/>
      <c r="L913" s="74"/>
      <c r="P913" s="74"/>
    </row>
    <row r="914">
      <c r="A914" s="48"/>
      <c r="C914" s="79"/>
      <c r="D914" s="36"/>
      <c r="E914" s="74"/>
      <c r="F914" s="74"/>
      <c r="G914" s="74"/>
      <c r="H914" s="74"/>
      <c r="I914" s="74"/>
      <c r="J914" s="74"/>
      <c r="K914" s="74"/>
      <c r="L914" s="74"/>
      <c r="P914" s="74"/>
    </row>
    <row r="915">
      <c r="A915" s="48"/>
      <c r="C915" s="79"/>
      <c r="D915" s="36"/>
      <c r="E915" s="74"/>
      <c r="F915" s="74"/>
      <c r="G915" s="74"/>
      <c r="H915" s="74"/>
      <c r="I915" s="74"/>
      <c r="J915" s="74"/>
      <c r="K915" s="74"/>
      <c r="L915" s="74"/>
      <c r="P915" s="74"/>
    </row>
    <row r="916">
      <c r="A916" s="48"/>
      <c r="C916" s="79"/>
      <c r="D916" s="36"/>
      <c r="E916" s="74"/>
      <c r="F916" s="74"/>
      <c r="G916" s="74"/>
      <c r="H916" s="74"/>
      <c r="I916" s="74"/>
      <c r="J916" s="74"/>
      <c r="K916" s="74"/>
      <c r="L916" s="74"/>
      <c r="P916" s="74"/>
    </row>
    <row r="917">
      <c r="A917" s="48"/>
      <c r="C917" s="79"/>
      <c r="D917" s="36"/>
      <c r="E917" s="74"/>
      <c r="F917" s="74"/>
      <c r="G917" s="74"/>
      <c r="H917" s="74"/>
      <c r="I917" s="74"/>
      <c r="J917" s="74"/>
      <c r="K917" s="74"/>
      <c r="L917" s="74"/>
      <c r="P917" s="74"/>
    </row>
    <row r="918">
      <c r="A918" s="48"/>
      <c r="C918" s="79"/>
      <c r="D918" s="36"/>
      <c r="E918" s="74"/>
      <c r="F918" s="74"/>
      <c r="G918" s="74"/>
      <c r="H918" s="74"/>
      <c r="I918" s="74"/>
      <c r="J918" s="74"/>
      <c r="K918" s="74"/>
      <c r="L918" s="74"/>
      <c r="P918" s="74"/>
    </row>
    <row r="919">
      <c r="A919" s="48"/>
      <c r="C919" s="79"/>
      <c r="D919" s="36"/>
      <c r="E919" s="74"/>
      <c r="F919" s="74"/>
      <c r="G919" s="74"/>
      <c r="H919" s="74"/>
      <c r="I919" s="74"/>
      <c r="J919" s="74"/>
      <c r="K919" s="74"/>
      <c r="L919" s="74"/>
      <c r="P919" s="74"/>
    </row>
    <row r="920">
      <c r="A920" s="48"/>
      <c r="C920" s="79"/>
      <c r="D920" s="36"/>
      <c r="E920" s="74"/>
      <c r="F920" s="74"/>
      <c r="G920" s="74"/>
      <c r="H920" s="74"/>
      <c r="I920" s="74"/>
      <c r="J920" s="74"/>
      <c r="K920" s="74"/>
      <c r="L920" s="74"/>
      <c r="P920" s="74"/>
    </row>
    <row r="921">
      <c r="A921" s="48"/>
      <c r="C921" s="79"/>
      <c r="D921" s="36"/>
      <c r="E921" s="74"/>
      <c r="F921" s="74"/>
      <c r="G921" s="74"/>
      <c r="H921" s="74"/>
      <c r="I921" s="74"/>
      <c r="J921" s="74"/>
      <c r="K921" s="74"/>
      <c r="L921" s="74"/>
      <c r="P921" s="74"/>
    </row>
    <row r="922">
      <c r="A922" s="48"/>
      <c r="C922" s="79"/>
      <c r="D922" s="36"/>
      <c r="E922" s="74"/>
      <c r="F922" s="74"/>
      <c r="G922" s="74"/>
      <c r="H922" s="74"/>
      <c r="I922" s="74"/>
      <c r="J922" s="74"/>
      <c r="K922" s="74"/>
      <c r="L922" s="74"/>
      <c r="P922" s="74"/>
    </row>
    <row r="923">
      <c r="A923" s="48"/>
      <c r="C923" s="79"/>
      <c r="D923" s="36"/>
      <c r="E923" s="74"/>
      <c r="F923" s="74"/>
      <c r="G923" s="74"/>
      <c r="H923" s="74"/>
      <c r="I923" s="74"/>
      <c r="J923" s="74"/>
      <c r="K923" s="74"/>
      <c r="L923" s="74"/>
      <c r="P923" s="74"/>
    </row>
    <row r="924">
      <c r="A924" s="48"/>
      <c r="C924" s="79"/>
      <c r="D924" s="36"/>
      <c r="E924" s="74"/>
      <c r="F924" s="74"/>
      <c r="G924" s="74"/>
      <c r="H924" s="74"/>
      <c r="I924" s="74"/>
      <c r="J924" s="74"/>
      <c r="K924" s="74"/>
      <c r="L924" s="74"/>
      <c r="P924" s="74"/>
    </row>
    <row r="925">
      <c r="A925" s="48"/>
      <c r="C925" s="79"/>
      <c r="D925" s="36"/>
      <c r="E925" s="74"/>
      <c r="F925" s="74"/>
      <c r="G925" s="74"/>
      <c r="H925" s="74"/>
      <c r="I925" s="74"/>
      <c r="J925" s="74"/>
      <c r="K925" s="74"/>
      <c r="L925" s="74"/>
      <c r="P925" s="74"/>
    </row>
    <row r="926">
      <c r="A926" s="48"/>
      <c r="C926" s="79"/>
      <c r="D926" s="36"/>
      <c r="E926" s="74"/>
      <c r="F926" s="74"/>
      <c r="G926" s="74"/>
      <c r="H926" s="74"/>
      <c r="I926" s="74"/>
      <c r="J926" s="74"/>
      <c r="K926" s="74"/>
      <c r="L926" s="74"/>
      <c r="P926" s="74"/>
    </row>
    <row r="927">
      <c r="A927" s="48"/>
      <c r="C927" s="79"/>
      <c r="D927" s="36"/>
      <c r="E927" s="74"/>
      <c r="F927" s="74"/>
      <c r="G927" s="74"/>
      <c r="H927" s="74"/>
      <c r="I927" s="74"/>
      <c r="J927" s="74"/>
      <c r="K927" s="74"/>
      <c r="L927" s="74"/>
      <c r="P927" s="74"/>
    </row>
    <row r="928">
      <c r="A928" s="48"/>
      <c r="C928" s="79"/>
      <c r="D928" s="36"/>
      <c r="E928" s="74"/>
      <c r="F928" s="74"/>
      <c r="G928" s="74"/>
      <c r="H928" s="74"/>
      <c r="I928" s="74"/>
      <c r="J928" s="74"/>
      <c r="K928" s="74"/>
      <c r="L928" s="74"/>
      <c r="P928" s="74"/>
    </row>
    <row r="929">
      <c r="A929" s="48"/>
      <c r="C929" s="79"/>
      <c r="D929" s="36"/>
      <c r="E929" s="74"/>
      <c r="F929" s="74"/>
      <c r="G929" s="74"/>
      <c r="H929" s="74"/>
      <c r="I929" s="74"/>
      <c r="J929" s="74"/>
      <c r="K929" s="74"/>
      <c r="L929" s="74"/>
      <c r="P929" s="74"/>
    </row>
    <row r="930">
      <c r="A930" s="48"/>
      <c r="C930" s="79"/>
      <c r="D930" s="36"/>
      <c r="E930" s="74"/>
      <c r="F930" s="74"/>
      <c r="G930" s="74"/>
      <c r="H930" s="74"/>
      <c r="I930" s="74"/>
      <c r="J930" s="74"/>
      <c r="K930" s="74"/>
      <c r="L930" s="74"/>
      <c r="P930" s="74"/>
    </row>
    <row r="931">
      <c r="A931" s="48"/>
      <c r="C931" s="79"/>
      <c r="D931" s="36"/>
      <c r="E931" s="74"/>
      <c r="F931" s="74"/>
      <c r="G931" s="74"/>
      <c r="H931" s="74"/>
      <c r="I931" s="74"/>
      <c r="J931" s="74"/>
      <c r="K931" s="74"/>
      <c r="L931" s="74"/>
      <c r="P931" s="74"/>
    </row>
    <row r="932">
      <c r="A932" s="48"/>
      <c r="C932" s="79"/>
      <c r="D932" s="36"/>
      <c r="E932" s="74"/>
      <c r="F932" s="74"/>
      <c r="G932" s="74"/>
      <c r="H932" s="74"/>
      <c r="I932" s="74"/>
      <c r="J932" s="74"/>
      <c r="K932" s="74"/>
      <c r="L932" s="74"/>
      <c r="P932" s="74"/>
    </row>
    <row r="933">
      <c r="A933" s="48"/>
      <c r="C933" s="79"/>
      <c r="D933" s="36"/>
      <c r="E933" s="74"/>
      <c r="F933" s="74"/>
      <c r="G933" s="74"/>
      <c r="H933" s="74"/>
      <c r="I933" s="74"/>
      <c r="J933" s="74"/>
      <c r="K933" s="74"/>
      <c r="L933" s="74"/>
      <c r="P933" s="74"/>
    </row>
    <row r="934">
      <c r="A934" s="48"/>
      <c r="C934" s="79"/>
      <c r="D934" s="36"/>
      <c r="E934" s="74"/>
      <c r="F934" s="74"/>
      <c r="G934" s="74"/>
      <c r="H934" s="74"/>
      <c r="I934" s="74"/>
      <c r="J934" s="74"/>
      <c r="K934" s="74"/>
      <c r="L934" s="74"/>
      <c r="P934" s="74"/>
    </row>
    <row r="935">
      <c r="A935" s="48"/>
      <c r="C935" s="79"/>
      <c r="D935" s="36"/>
      <c r="E935" s="74"/>
      <c r="F935" s="74"/>
      <c r="G935" s="74"/>
      <c r="H935" s="74"/>
      <c r="I935" s="74"/>
      <c r="J935" s="74"/>
      <c r="K935" s="74"/>
      <c r="L935" s="74"/>
      <c r="P935" s="74"/>
    </row>
    <row r="936">
      <c r="A936" s="48"/>
      <c r="C936" s="79"/>
      <c r="D936" s="36"/>
      <c r="E936" s="74"/>
      <c r="F936" s="74"/>
      <c r="G936" s="74"/>
      <c r="H936" s="74"/>
      <c r="I936" s="74"/>
      <c r="J936" s="74"/>
      <c r="K936" s="74"/>
      <c r="L936" s="74"/>
      <c r="P936" s="74"/>
    </row>
    <row r="937">
      <c r="A937" s="48"/>
      <c r="C937" s="79"/>
      <c r="D937" s="36"/>
      <c r="E937" s="74"/>
      <c r="F937" s="74"/>
      <c r="G937" s="74"/>
      <c r="H937" s="74"/>
      <c r="I937" s="74"/>
      <c r="J937" s="74"/>
      <c r="K937" s="74"/>
      <c r="L937" s="74"/>
      <c r="P937" s="74"/>
    </row>
    <row r="938">
      <c r="A938" s="48"/>
      <c r="C938" s="79"/>
      <c r="D938" s="36"/>
      <c r="E938" s="74"/>
      <c r="F938" s="74"/>
      <c r="G938" s="74"/>
      <c r="H938" s="74"/>
      <c r="I938" s="74"/>
      <c r="J938" s="74"/>
      <c r="K938" s="74"/>
      <c r="L938" s="74"/>
      <c r="P938" s="74"/>
    </row>
    <row r="939">
      <c r="A939" s="48"/>
      <c r="C939" s="79"/>
      <c r="D939" s="36"/>
      <c r="E939" s="74"/>
      <c r="F939" s="74"/>
      <c r="G939" s="74"/>
      <c r="H939" s="74"/>
      <c r="I939" s="74"/>
      <c r="J939" s="74"/>
      <c r="K939" s="74"/>
      <c r="L939" s="74"/>
      <c r="P939" s="74"/>
    </row>
    <row r="940">
      <c r="A940" s="48"/>
      <c r="C940" s="79"/>
      <c r="D940" s="36"/>
      <c r="E940" s="74"/>
      <c r="F940" s="74"/>
      <c r="G940" s="74"/>
      <c r="H940" s="74"/>
      <c r="I940" s="74"/>
      <c r="J940" s="74"/>
      <c r="K940" s="74"/>
      <c r="L940" s="74"/>
      <c r="P940" s="74"/>
    </row>
    <row r="941">
      <c r="A941" s="48"/>
      <c r="C941" s="79"/>
      <c r="D941" s="36"/>
      <c r="E941" s="74"/>
      <c r="F941" s="74"/>
      <c r="G941" s="74"/>
      <c r="H941" s="74"/>
      <c r="I941" s="74"/>
      <c r="J941" s="74"/>
      <c r="K941" s="74"/>
      <c r="L941" s="74"/>
      <c r="P941" s="74"/>
    </row>
    <row r="942">
      <c r="A942" s="48"/>
      <c r="C942" s="79"/>
      <c r="D942" s="36"/>
      <c r="E942" s="74"/>
      <c r="F942" s="74"/>
      <c r="G942" s="74"/>
      <c r="H942" s="74"/>
      <c r="I942" s="74"/>
      <c r="J942" s="74"/>
      <c r="K942" s="74"/>
      <c r="L942" s="74"/>
      <c r="P942" s="74"/>
    </row>
    <row r="943">
      <c r="A943" s="48"/>
      <c r="C943" s="79"/>
      <c r="D943" s="36"/>
      <c r="E943" s="74"/>
      <c r="F943" s="74"/>
      <c r="G943" s="74"/>
      <c r="H943" s="74"/>
      <c r="I943" s="74"/>
      <c r="J943" s="74"/>
      <c r="K943" s="74"/>
      <c r="L943" s="74"/>
      <c r="P943" s="74"/>
    </row>
    <row r="944">
      <c r="A944" s="48"/>
      <c r="C944" s="79"/>
      <c r="D944" s="36"/>
      <c r="E944" s="74"/>
      <c r="F944" s="74"/>
      <c r="G944" s="74"/>
      <c r="H944" s="74"/>
      <c r="I944" s="74"/>
      <c r="J944" s="74"/>
      <c r="K944" s="74"/>
      <c r="L944" s="74"/>
      <c r="P944" s="74"/>
    </row>
    <row r="945">
      <c r="A945" s="48"/>
      <c r="C945" s="79"/>
      <c r="D945" s="36"/>
      <c r="E945" s="74"/>
      <c r="F945" s="74"/>
      <c r="G945" s="74"/>
      <c r="H945" s="74"/>
      <c r="I945" s="74"/>
      <c r="J945" s="74"/>
      <c r="K945" s="74"/>
      <c r="L945" s="74"/>
      <c r="P945" s="74"/>
    </row>
    <row r="946">
      <c r="A946" s="48"/>
      <c r="C946" s="79"/>
      <c r="D946" s="36"/>
      <c r="E946" s="74"/>
      <c r="F946" s="74"/>
      <c r="G946" s="74"/>
      <c r="H946" s="74"/>
      <c r="I946" s="74"/>
      <c r="J946" s="74"/>
      <c r="K946" s="74"/>
      <c r="L946" s="74"/>
      <c r="P946" s="74"/>
    </row>
    <row r="947">
      <c r="A947" s="48"/>
      <c r="C947" s="79"/>
      <c r="D947" s="36"/>
      <c r="E947" s="74"/>
      <c r="F947" s="74"/>
      <c r="G947" s="74"/>
      <c r="H947" s="74"/>
      <c r="I947" s="74"/>
      <c r="J947" s="74"/>
      <c r="K947" s="74"/>
      <c r="L947" s="74"/>
      <c r="P947" s="74"/>
    </row>
    <row r="948">
      <c r="A948" s="48"/>
      <c r="C948" s="79"/>
      <c r="D948" s="36"/>
      <c r="E948" s="74"/>
      <c r="F948" s="74"/>
      <c r="G948" s="74"/>
      <c r="H948" s="74"/>
      <c r="I948" s="74"/>
      <c r="J948" s="74"/>
      <c r="K948" s="74"/>
      <c r="L948" s="74"/>
      <c r="P948" s="74"/>
    </row>
    <row r="949">
      <c r="A949" s="48"/>
      <c r="C949" s="79"/>
      <c r="D949" s="36"/>
      <c r="E949" s="74"/>
      <c r="F949" s="74"/>
      <c r="G949" s="74"/>
      <c r="H949" s="74"/>
      <c r="I949" s="74"/>
      <c r="J949" s="74"/>
      <c r="K949" s="74"/>
      <c r="L949" s="74"/>
      <c r="P949" s="74"/>
    </row>
    <row r="950">
      <c r="A950" s="48"/>
      <c r="C950" s="79"/>
      <c r="D950" s="36"/>
      <c r="E950" s="74"/>
      <c r="F950" s="74"/>
      <c r="G950" s="74"/>
      <c r="H950" s="74"/>
      <c r="I950" s="74"/>
      <c r="J950" s="74"/>
      <c r="K950" s="74"/>
      <c r="L950" s="74"/>
      <c r="P950" s="74"/>
    </row>
    <row r="951">
      <c r="A951" s="48"/>
      <c r="C951" s="79"/>
      <c r="D951" s="36"/>
      <c r="E951" s="74"/>
      <c r="F951" s="74"/>
      <c r="G951" s="74"/>
      <c r="H951" s="74"/>
      <c r="I951" s="74"/>
      <c r="J951" s="74"/>
      <c r="K951" s="74"/>
      <c r="L951" s="74"/>
      <c r="P951" s="74"/>
    </row>
    <row r="952">
      <c r="A952" s="48"/>
      <c r="C952" s="79"/>
      <c r="D952" s="36"/>
      <c r="E952" s="74"/>
      <c r="F952" s="74"/>
      <c r="G952" s="74"/>
      <c r="H952" s="74"/>
      <c r="I952" s="74"/>
      <c r="J952" s="74"/>
      <c r="K952" s="74"/>
      <c r="L952" s="74"/>
      <c r="P952" s="74"/>
    </row>
    <row r="953">
      <c r="A953" s="48"/>
      <c r="C953" s="79"/>
      <c r="D953" s="36"/>
      <c r="E953" s="74"/>
      <c r="F953" s="74"/>
      <c r="G953" s="74"/>
      <c r="H953" s="74"/>
      <c r="I953" s="74"/>
      <c r="J953" s="74"/>
      <c r="K953" s="74"/>
      <c r="L953" s="74"/>
      <c r="P953" s="74"/>
    </row>
    <row r="954">
      <c r="A954" s="48"/>
      <c r="C954" s="79"/>
      <c r="D954" s="36"/>
      <c r="E954" s="74"/>
      <c r="F954" s="74"/>
      <c r="G954" s="74"/>
      <c r="H954" s="74"/>
      <c r="I954" s="74"/>
      <c r="J954" s="74"/>
      <c r="K954" s="74"/>
      <c r="L954" s="74"/>
      <c r="P954" s="74"/>
    </row>
    <row r="955">
      <c r="A955" s="48"/>
      <c r="C955" s="79"/>
      <c r="D955" s="36"/>
      <c r="E955" s="74"/>
      <c r="F955" s="74"/>
      <c r="G955" s="74"/>
      <c r="H955" s="74"/>
      <c r="I955" s="74"/>
      <c r="J955" s="74"/>
      <c r="K955" s="74"/>
      <c r="L955" s="74"/>
      <c r="P955" s="74"/>
    </row>
    <row r="956">
      <c r="A956" s="48"/>
      <c r="C956" s="79"/>
      <c r="D956" s="36"/>
      <c r="E956" s="74"/>
      <c r="F956" s="74"/>
      <c r="G956" s="74"/>
      <c r="H956" s="74"/>
      <c r="I956" s="74"/>
      <c r="J956" s="74"/>
      <c r="K956" s="74"/>
      <c r="L956" s="74"/>
      <c r="P956" s="74"/>
    </row>
    <row r="957">
      <c r="A957" s="48"/>
      <c r="C957" s="79"/>
      <c r="D957" s="36"/>
      <c r="E957" s="74"/>
      <c r="F957" s="74"/>
      <c r="G957" s="74"/>
      <c r="H957" s="74"/>
      <c r="I957" s="74"/>
      <c r="J957" s="74"/>
      <c r="K957" s="74"/>
      <c r="L957" s="74"/>
      <c r="P957" s="74"/>
    </row>
    <row r="958">
      <c r="A958" s="48"/>
      <c r="C958" s="79"/>
      <c r="D958" s="36"/>
      <c r="E958" s="74"/>
      <c r="F958" s="74"/>
      <c r="G958" s="74"/>
      <c r="H958" s="74"/>
      <c r="I958" s="74"/>
      <c r="J958" s="74"/>
      <c r="K958" s="74"/>
      <c r="L958" s="74"/>
      <c r="P958" s="74"/>
    </row>
    <row r="959">
      <c r="A959" s="48"/>
      <c r="C959" s="79"/>
      <c r="D959" s="36"/>
      <c r="E959" s="74"/>
      <c r="F959" s="74"/>
      <c r="G959" s="74"/>
      <c r="H959" s="74"/>
      <c r="I959" s="74"/>
      <c r="J959" s="74"/>
      <c r="K959" s="74"/>
      <c r="L959" s="74"/>
      <c r="P959" s="74"/>
    </row>
    <row r="960">
      <c r="A960" s="48"/>
      <c r="C960" s="79"/>
      <c r="D960" s="36"/>
      <c r="E960" s="74"/>
      <c r="F960" s="74"/>
      <c r="G960" s="74"/>
      <c r="H960" s="74"/>
      <c r="I960" s="74"/>
      <c r="J960" s="74"/>
      <c r="K960" s="74"/>
      <c r="L960" s="74"/>
      <c r="P960" s="74"/>
    </row>
    <row r="961">
      <c r="A961" s="48"/>
      <c r="C961" s="79"/>
      <c r="D961" s="36"/>
      <c r="E961" s="74"/>
      <c r="F961" s="74"/>
      <c r="G961" s="74"/>
      <c r="H961" s="74"/>
      <c r="I961" s="74"/>
      <c r="J961" s="74"/>
      <c r="K961" s="74"/>
      <c r="L961" s="74"/>
      <c r="P961" s="74"/>
    </row>
    <row r="962">
      <c r="A962" s="48"/>
      <c r="C962" s="79"/>
      <c r="D962" s="36"/>
      <c r="E962" s="74"/>
      <c r="F962" s="74"/>
      <c r="G962" s="74"/>
      <c r="H962" s="74"/>
      <c r="I962" s="74"/>
      <c r="J962" s="74"/>
      <c r="K962" s="74"/>
      <c r="L962" s="74"/>
      <c r="P962" s="74"/>
    </row>
    <row r="963">
      <c r="A963" s="48"/>
      <c r="C963" s="79"/>
      <c r="D963" s="36"/>
      <c r="E963" s="74"/>
      <c r="F963" s="74"/>
      <c r="G963" s="74"/>
      <c r="H963" s="74"/>
      <c r="I963" s="74"/>
      <c r="J963" s="74"/>
      <c r="K963" s="74"/>
      <c r="L963" s="74"/>
      <c r="P963" s="74"/>
    </row>
    <row r="964">
      <c r="A964" s="48"/>
      <c r="C964" s="79"/>
      <c r="D964" s="36"/>
      <c r="E964" s="74"/>
      <c r="F964" s="74"/>
      <c r="G964" s="74"/>
      <c r="H964" s="74"/>
      <c r="I964" s="74"/>
      <c r="J964" s="74"/>
      <c r="K964" s="74"/>
      <c r="L964" s="74"/>
      <c r="P964" s="74"/>
    </row>
    <row r="965">
      <c r="A965" s="48"/>
      <c r="C965" s="79"/>
      <c r="D965" s="36"/>
      <c r="E965" s="74"/>
      <c r="F965" s="74"/>
      <c r="G965" s="74"/>
      <c r="H965" s="74"/>
      <c r="I965" s="74"/>
      <c r="J965" s="74"/>
      <c r="K965" s="74"/>
      <c r="L965" s="74"/>
      <c r="P965" s="74"/>
    </row>
    <row r="966">
      <c r="A966" s="48"/>
      <c r="C966" s="79"/>
      <c r="D966" s="36"/>
      <c r="E966" s="74"/>
      <c r="F966" s="74"/>
      <c r="G966" s="74"/>
      <c r="H966" s="74"/>
      <c r="I966" s="74"/>
      <c r="J966" s="74"/>
      <c r="K966" s="74"/>
      <c r="L966" s="74"/>
      <c r="P966" s="74"/>
    </row>
    <row r="967">
      <c r="A967" s="48"/>
      <c r="C967" s="79"/>
      <c r="D967" s="36"/>
      <c r="E967" s="74"/>
      <c r="F967" s="74"/>
      <c r="G967" s="74"/>
      <c r="H967" s="74"/>
      <c r="I967" s="74"/>
      <c r="J967" s="74"/>
      <c r="K967" s="74"/>
      <c r="L967" s="74"/>
      <c r="P967" s="74"/>
    </row>
    <row r="968">
      <c r="A968" s="48"/>
      <c r="C968" s="79"/>
      <c r="D968" s="36"/>
      <c r="E968" s="74"/>
      <c r="F968" s="74"/>
      <c r="G968" s="74"/>
      <c r="H968" s="74"/>
      <c r="I968" s="74"/>
      <c r="J968" s="74"/>
      <c r="K968" s="74"/>
      <c r="L968" s="74"/>
      <c r="P968" s="74"/>
    </row>
    <row r="969">
      <c r="A969" s="48"/>
      <c r="C969" s="79"/>
      <c r="D969" s="36"/>
      <c r="E969" s="74"/>
      <c r="F969" s="74"/>
      <c r="G969" s="74"/>
      <c r="H969" s="74"/>
      <c r="I969" s="74"/>
      <c r="J969" s="74"/>
      <c r="K969" s="74"/>
      <c r="L969" s="74"/>
      <c r="P969" s="74"/>
    </row>
    <row r="970">
      <c r="A970" s="48"/>
      <c r="C970" s="79"/>
      <c r="D970" s="36"/>
      <c r="E970" s="74"/>
      <c r="F970" s="74"/>
      <c r="G970" s="74"/>
      <c r="H970" s="74"/>
      <c r="I970" s="74"/>
      <c r="J970" s="74"/>
      <c r="K970" s="74"/>
      <c r="L970" s="74"/>
      <c r="P970" s="74"/>
    </row>
    <row r="971">
      <c r="A971" s="48"/>
      <c r="C971" s="79"/>
      <c r="D971" s="36"/>
      <c r="E971" s="74"/>
      <c r="F971" s="74"/>
      <c r="G971" s="74"/>
      <c r="H971" s="74"/>
      <c r="I971" s="74"/>
      <c r="J971" s="74"/>
      <c r="K971" s="74"/>
      <c r="L971" s="74"/>
      <c r="P971" s="74"/>
    </row>
    <row r="972">
      <c r="A972" s="48"/>
      <c r="C972" s="79"/>
      <c r="D972" s="36"/>
      <c r="E972" s="74"/>
      <c r="F972" s="74"/>
      <c r="G972" s="74"/>
      <c r="H972" s="74"/>
      <c r="I972" s="74"/>
      <c r="J972" s="74"/>
      <c r="K972" s="74"/>
      <c r="L972" s="74"/>
      <c r="P972" s="74"/>
    </row>
    <row r="973">
      <c r="A973" s="48"/>
      <c r="C973" s="79"/>
      <c r="D973" s="36"/>
      <c r="E973" s="74"/>
      <c r="F973" s="74"/>
      <c r="G973" s="74"/>
      <c r="H973" s="74"/>
      <c r="I973" s="74"/>
      <c r="J973" s="74"/>
      <c r="K973" s="74"/>
      <c r="L973" s="74"/>
      <c r="P973" s="74"/>
    </row>
    <row r="974">
      <c r="A974" s="48"/>
      <c r="C974" s="79"/>
      <c r="D974" s="36"/>
      <c r="E974" s="74"/>
      <c r="F974" s="74"/>
      <c r="G974" s="74"/>
      <c r="H974" s="74"/>
      <c r="I974" s="74"/>
      <c r="J974" s="74"/>
      <c r="K974" s="74"/>
      <c r="L974" s="74"/>
      <c r="P974" s="74"/>
    </row>
    <row r="975">
      <c r="A975" s="48"/>
      <c r="C975" s="79"/>
      <c r="D975" s="36"/>
      <c r="E975" s="74"/>
      <c r="F975" s="74"/>
      <c r="G975" s="74"/>
      <c r="H975" s="74"/>
      <c r="I975" s="74"/>
      <c r="J975" s="74"/>
      <c r="K975" s="74"/>
      <c r="L975" s="74"/>
      <c r="P975" s="74"/>
    </row>
    <row r="976">
      <c r="A976" s="48"/>
      <c r="C976" s="79"/>
      <c r="D976" s="36"/>
      <c r="E976" s="74"/>
      <c r="F976" s="74"/>
      <c r="G976" s="74"/>
      <c r="H976" s="74"/>
      <c r="I976" s="74"/>
      <c r="J976" s="74"/>
      <c r="K976" s="74"/>
      <c r="L976" s="74"/>
      <c r="P976" s="74"/>
    </row>
    <row r="977">
      <c r="A977" s="48"/>
      <c r="C977" s="79"/>
      <c r="D977" s="36"/>
      <c r="E977" s="74"/>
      <c r="F977" s="74"/>
      <c r="G977" s="74"/>
      <c r="H977" s="74"/>
      <c r="I977" s="74"/>
      <c r="J977" s="74"/>
      <c r="K977" s="74"/>
      <c r="L977" s="74"/>
      <c r="P977" s="74"/>
    </row>
    <row r="978">
      <c r="A978" s="48"/>
      <c r="C978" s="79"/>
      <c r="D978" s="36"/>
      <c r="E978" s="74"/>
      <c r="F978" s="74"/>
      <c r="G978" s="74"/>
      <c r="H978" s="74"/>
      <c r="I978" s="74"/>
      <c r="J978" s="74"/>
      <c r="K978" s="74"/>
      <c r="L978" s="74"/>
      <c r="P978" s="74"/>
    </row>
    <row r="979">
      <c r="A979" s="48"/>
      <c r="C979" s="79"/>
      <c r="D979" s="36"/>
      <c r="E979" s="74"/>
      <c r="F979" s="74"/>
      <c r="G979" s="74"/>
      <c r="H979" s="74"/>
      <c r="I979" s="74"/>
      <c r="J979" s="74"/>
      <c r="K979" s="74"/>
      <c r="L979" s="74"/>
      <c r="P979" s="74"/>
    </row>
    <row r="980">
      <c r="A980" s="48"/>
      <c r="C980" s="79"/>
      <c r="D980" s="36"/>
      <c r="E980" s="74"/>
      <c r="F980" s="74"/>
      <c r="G980" s="74"/>
      <c r="H980" s="74"/>
      <c r="I980" s="74"/>
      <c r="J980" s="74"/>
      <c r="K980" s="74"/>
      <c r="L980" s="74"/>
      <c r="P980" s="74"/>
    </row>
    <row r="981">
      <c r="A981" s="48"/>
      <c r="C981" s="79"/>
      <c r="D981" s="36"/>
      <c r="E981" s="74"/>
      <c r="F981" s="74"/>
      <c r="G981" s="74"/>
      <c r="H981" s="74"/>
      <c r="I981" s="74"/>
      <c r="J981" s="74"/>
      <c r="K981" s="74"/>
      <c r="L981" s="74"/>
      <c r="P981" s="74"/>
    </row>
    <row r="982">
      <c r="A982" s="48"/>
      <c r="C982" s="79"/>
      <c r="D982" s="36"/>
      <c r="E982" s="74"/>
      <c r="F982" s="74"/>
      <c r="G982" s="74"/>
      <c r="H982" s="74"/>
      <c r="I982" s="74"/>
      <c r="J982" s="74"/>
      <c r="K982" s="74"/>
      <c r="L982" s="74"/>
      <c r="P982" s="74"/>
    </row>
    <row r="983">
      <c r="A983" s="48"/>
      <c r="C983" s="79"/>
      <c r="D983" s="36"/>
      <c r="E983" s="74"/>
      <c r="F983" s="74"/>
      <c r="G983" s="74"/>
      <c r="H983" s="74"/>
      <c r="I983" s="74"/>
      <c r="J983" s="74"/>
      <c r="K983" s="74"/>
      <c r="L983" s="74"/>
      <c r="P983" s="74"/>
    </row>
    <row r="984">
      <c r="A984" s="48"/>
      <c r="C984" s="79"/>
      <c r="D984" s="36"/>
      <c r="E984" s="74"/>
      <c r="F984" s="74"/>
      <c r="G984" s="74"/>
      <c r="H984" s="74"/>
      <c r="I984" s="74"/>
      <c r="J984" s="74"/>
      <c r="K984" s="74"/>
      <c r="L984" s="74"/>
      <c r="P984" s="74"/>
    </row>
    <row r="985">
      <c r="A985" s="48"/>
      <c r="C985" s="79"/>
      <c r="D985" s="36"/>
      <c r="E985" s="74"/>
      <c r="F985" s="74"/>
      <c r="G985" s="74"/>
      <c r="H985" s="74"/>
      <c r="I985" s="74"/>
      <c r="J985" s="74"/>
      <c r="K985" s="74"/>
      <c r="L985" s="74"/>
      <c r="P985" s="74"/>
    </row>
    <row r="986">
      <c r="A986" s="48"/>
      <c r="C986" s="79"/>
      <c r="D986" s="36"/>
      <c r="E986" s="74"/>
      <c r="F986" s="74"/>
      <c r="G986" s="74"/>
      <c r="H986" s="74"/>
      <c r="I986" s="74"/>
      <c r="J986" s="74"/>
      <c r="K986" s="74"/>
      <c r="L986" s="74"/>
      <c r="P986" s="74"/>
    </row>
    <row r="987">
      <c r="A987" s="48"/>
      <c r="C987" s="79"/>
      <c r="D987" s="36"/>
      <c r="E987" s="74"/>
      <c r="F987" s="74"/>
      <c r="G987" s="74"/>
      <c r="H987" s="74"/>
      <c r="I987" s="74"/>
      <c r="J987" s="74"/>
      <c r="K987" s="74"/>
      <c r="L987" s="74"/>
      <c r="P987" s="74"/>
    </row>
    <row r="988">
      <c r="A988" s="48"/>
      <c r="C988" s="79"/>
      <c r="D988" s="36"/>
      <c r="E988" s="74"/>
      <c r="F988" s="74"/>
      <c r="G988" s="74"/>
      <c r="H988" s="74"/>
      <c r="I988" s="74"/>
      <c r="J988" s="74"/>
      <c r="K988" s="74"/>
      <c r="L988" s="74"/>
      <c r="P988" s="74"/>
    </row>
    <row r="989">
      <c r="A989" s="48"/>
      <c r="C989" s="79"/>
      <c r="D989" s="36"/>
      <c r="E989" s="74"/>
      <c r="F989" s="74"/>
      <c r="G989" s="74"/>
      <c r="H989" s="74"/>
      <c r="I989" s="74"/>
      <c r="J989" s="74"/>
      <c r="K989" s="74"/>
      <c r="L989" s="74"/>
      <c r="P989" s="74"/>
    </row>
    <row r="990">
      <c r="A990" s="48"/>
      <c r="C990" s="79"/>
      <c r="D990" s="36"/>
      <c r="E990" s="74"/>
      <c r="F990" s="74"/>
      <c r="G990" s="74"/>
      <c r="H990" s="74"/>
      <c r="I990" s="74"/>
      <c r="J990" s="74"/>
      <c r="K990" s="74"/>
      <c r="L990" s="74"/>
      <c r="P990" s="74"/>
    </row>
    <row r="991">
      <c r="A991" s="48"/>
      <c r="C991" s="79"/>
      <c r="D991" s="36"/>
      <c r="E991" s="74"/>
      <c r="F991" s="74"/>
      <c r="G991" s="74"/>
      <c r="H991" s="74"/>
      <c r="I991" s="74"/>
      <c r="J991" s="74"/>
      <c r="K991" s="74"/>
      <c r="L991" s="74"/>
      <c r="P991" s="74"/>
    </row>
    <row r="992">
      <c r="A992" s="48"/>
      <c r="C992" s="79"/>
      <c r="D992" s="36"/>
      <c r="E992" s="74"/>
      <c r="F992" s="74"/>
      <c r="G992" s="74"/>
      <c r="H992" s="74"/>
      <c r="I992" s="74"/>
      <c r="J992" s="74"/>
      <c r="K992" s="74"/>
      <c r="L992" s="74"/>
      <c r="P992" s="74"/>
    </row>
    <row r="993">
      <c r="A993" s="48"/>
      <c r="C993" s="79"/>
      <c r="D993" s="36"/>
      <c r="E993" s="74"/>
      <c r="F993" s="74"/>
      <c r="G993" s="74"/>
      <c r="H993" s="74"/>
      <c r="I993" s="74"/>
      <c r="J993" s="74"/>
      <c r="K993" s="74"/>
      <c r="L993" s="74"/>
      <c r="P993" s="74"/>
    </row>
    <row r="994">
      <c r="A994" s="48"/>
      <c r="C994" s="79"/>
      <c r="D994" s="36"/>
      <c r="E994" s="74"/>
      <c r="F994" s="74"/>
      <c r="G994" s="74"/>
      <c r="H994" s="74"/>
      <c r="I994" s="74"/>
      <c r="J994" s="74"/>
      <c r="K994" s="74"/>
      <c r="L994" s="74"/>
      <c r="P994" s="74"/>
    </row>
    <row r="995">
      <c r="A995" s="48"/>
      <c r="C995" s="79"/>
      <c r="D995" s="36"/>
      <c r="E995" s="74"/>
      <c r="F995" s="74"/>
      <c r="G995" s="74"/>
      <c r="H995" s="74"/>
      <c r="I995" s="74"/>
      <c r="J995" s="74"/>
      <c r="K995" s="74"/>
      <c r="L995" s="74"/>
      <c r="P995" s="74"/>
    </row>
    <row r="996">
      <c r="A996" s="48"/>
      <c r="C996" s="79"/>
      <c r="D996" s="36"/>
      <c r="E996" s="74"/>
      <c r="F996" s="74"/>
      <c r="G996" s="74"/>
      <c r="H996" s="74"/>
      <c r="I996" s="74"/>
      <c r="J996" s="74"/>
      <c r="K996" s="74"/>
      <c r="L996" s="74"/>
      <c r="P996" s="74"/>
    </row>
    <row r="997">
      <c r="A997" s="48"/>
      <c r="C997" s="79"/>
      <c r="D997" s="36"/>
      <c r="E997" s="74"/>
      <c r="F997" s="74"/>
      <c r="G997" s="74"/>
      <c r="H997" s="74"/>
      <c r="I997" s="74"/>
      <c r="J997" s="74"/>
      <c r="K997" s="74"/>
      <c r="L997" s="74"/>
      <c r="P997" s="74"/>
    </row>
    <row r="998">
      <c r="A998" s="48"/>
      <c r="C998" s="79"/>
      <c r="D998" s="36"/>
      <c r="E998" s="74"/>
      <c r="F998" s="74"/>
      <c r="G998" s="74"/>
      <c r="H998" s="74"/>
      <c r="I998" s="74"/>
      <c r="J998" s="74"/>
      <c r="K998" s="74"/>
      <c r="L998" s="74"/>
      <c r="P998" s="74"/>
    </row>
    <row r="999">
      <c r="A999" s="48"/>
      <c r="C999" s="79"/>
      <c r="D999" s="36"/>
      <c r="E999" s="74"/>
      <c r="F999" s="74"/>
      <c r="G999" s="74"/>
      <c r="H999" s="74"/>
      <c r="I999" s="74"/>
      <c r="J999" s="74"/>
      <c r="K999" s="74"/>
      <c r="L999" s="74"/>
      <c r="P999" s="74"/>
    </row>
    <row r="1000">
      <c r="A1000" s="48"/>
      <c r="C1000" s="79"/>
      <c r="D1000" s="36"/>
      <c r="E1000" s="74"/>
      <c r="F1000" s="74"/>
      <c r="G1000" s="74"/>
      <c r="H1000" s="74"/>
      <c r="I1000" s="74"/>
      <c r="J1000" s="74"/>
      <c r="K1000" s="74"/>
      <c r="L1000" s="74"/>
      <c r="P1000" s="7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88"/>
    <col customWidth="1" min="2" max="2" width="32.25"/>
    <col customWidth="1" min="3" max="3" width="6.5"/>
    <col customWidth="1" min="4" max="5" width="21.0"/>
    <col customWidth="1" min="6" max="6" width="11.5"/>
    <col customWidth="1" min="7" max="8" width="10.75"/>
    <col customWidth="1" min="9" max="9" width="11.88"/>
    <col customWidth="1" min="10" max="11" width="9.38"/>
    <col customWidth="1" min="12" max="12" width="17.5"/>
    <col customWidth="1" min="13" max="13" width="19.0"/>
    <col customWidth="1" min="14" max="31" width="17.5"/>
  </cols>
  <sheetData>
    <row r="1">
      <c r="A1" s="111" t="s">
        <v>0</v>
      </c>
      <c r="B1" s="52" t="s">
        <v>1</v>
      </c>
      <c r="C1" s="112" t="s">
        <v>261</v>
      </c>
      <c r="D1" s="113" t="s">
        <v>262</v>
      </c>
      <c r="E1" s="114" t="s">
        <v>263</v>
      </c>
      <c r="F1" s="115" t="s">
        <v>264</v>
      </c>
      <c r="G1" s="114" t="s">
        <v>265</v>
      </c>
      <c r="H1" s="54" t="s">
        <v>266</v>
      </c>
      <c r="I1" s="116" t="s">
        <v>267</v>
      </c>
      <c r="J1" s="54" t="s">
        <v>268</v>
      </c>
      <c r="K1" s="52" t="s">
        <v>269</v>
      </c>
      <c r="L1" s="54" t="s">
        <v>270</v>
      </c>
      <c r="M1" s="54" t="s">
        <v>271</v>
      </c>
      <c r="N1" s="52"/>
      <c r="O1" s="52"/>
      <c r="P1" s="52"/>
      <c r="Q1" s="52"/>
      <c r="R1" s="52"/>
      <c r="S1" s="52"/>
      <c r="T1" s="52"/>
      <c r="U1" s="52"/>
      <c r="V1" s="52"/>
      <c r="W1" s="52"/>
      <c r="X1" s="52"/>
      <c r="Y1" s="52"/>
      <c r="Z1" s="52"/>
      <c r="AA1" s="52"/>
      <c r="AB1" s="52"/>
      <c r="AC1" s="52"/>
      <c r="AD1" s="52"/>
      <c r="AE1" s="52"/>
    </row>
    <row r="2">
      <c r="A2" s="5" t="s">
        <v>272</v>
      </c>
      <c r="B2" s="57" t="s">
        <v>15</v>
      </c>
      <c r="C2" s="117" t="s">
        <v>273</v>
      </c>
      <c r="D2" s="117">
        <v>0.0</v>
      </c>
      <c r="E2" s="118">
        <v>29.99</v>
      </c>
      <c r="F2" s="119">
        <v>10000.0</v>
      </c>
      <c r="G2" s="118">
        <v>7500.0</v>
      </c>
      <c r="H2" s="18" t="s">
        <v>274</v>
      </c>
      <c r="I2" s="120">
        <v>40087.0</v>
      </c>
      <c r="J2" s="18" t="s">
        <v>275</v>
      </c>
      <c r="K2" s="18" t="s">
        <v>276</v>
      </c>
      <c r="L2" s="29" t="s">
        <v>277</v>
      </c>
      <c r="M2" s="11"/>
      <c r="N2" s="11"/>
      <c r="O2" s="11"/>
      <c r="P2" s="11"/>
      <c r="Q2" s="11"/>
      <c r="R2" s="11"/>
      <c r="S2" s="11"/>
      <c r="T2" s="11"/>
      <c r="U2" s="11"/>
      <c r="V2" s="11"/>
      <c r="W2" s="11"/>
      <c r="X2" s="11"/>
      <c r="Y2" s="11"/>
      <c r="Z2" s="11"/>
      <c r="AA2" s="11"/>
      <c r="AB2" s="11"/>
      <c r="AC2" s="11"/>
      <c r="AD2" s="11"/>
      <c r="AE2" s="11"/>
    </row>
    <row r="3">
      <c r="A3" s="5" t="s">
        <v>272</v>
      </c>
      <c r="B3" s="57" t="s">
        <v>15</v>
      </c>
      <c r="C3" s="121"/>
      <c r="D3" s="117">
        <v>30.0</v>
      </c>
      <c r="E3" s="118">
        <v>39.99</v>
      </c>
      <c r="F3" s="119">
        <v>30000.0</v>
      </c>
      <c r="G3" s="118">
        <v>7500.0</v>
      </c>
      <c r="H3" s="18" t="s">
        <v>274</v>
      </c>
      <c r="I3" s="120">
        <v>40087.0</v>
      </c>
      <c r="J3" s="18" t="s">
        <v>275</v>
      </c>
      <c r="K3" s="18" t="s">
        <v>276</v>
      </c>
      <c r="L3" s="29" t="s">
        <v>277</v>
      </c>
      <c r="M3" s="11"/>
      <c r="N3" s="11"/>
      <c r="O3" s="11"/>
      <c r="P3" s="11"/>
      <c r="Q3" s="11"/>
      <c r="R3" s="11"/>
      <c r="S3" s="11"/>
      <c r="T3" s="11"/>
      <c r="U3" s="11"/>
      <c r="V3" s="11"/>
      <c r="W3" s="11"/>
      <c r="X3" s="11"/>
      <c r="Y3" s="11"/>
      <c r="Z3" s="11"/>
      <c r="AA3" s="11"/>
      <c r="AB3" s="11"/>
      <c r="AC3" s="11"/>
      <c r="AD3" s="11"/>
      <c r="AE3" s="11"/>
    </row>
    <row r="4">
      <c r="A4" s="5" t="s">
        <v>272</v>
      </c>
      <c r="B4" s="57" t="s">
        <v>15</v>
      </c>
      <c r="C4" s="121"/>
      <c r="D4" s="117">
        <v>40.0</v>
      </c>
      <c r="E4" s="118">
        <v>49.99</v>
      </c>
      <c r="F4" s="119">
        <v>50000.0</v>
      </c>
      <c r="G4" s="118">
        <v>7500.0</v>
      </c>
      <c r="H4" s="18" t="s">
        <v>274</v>
      </c>
      <c r="I4" s="120">
        <v>40087.0</v>
      </c>
      <c r="J4" s="18" t="s">
        <v>275</v>
      </c>
      <c r="K4" s="18" t="s">
        <v>276</v>
      </c>
      <c r="L4" s="29" t="s">
        <v>277</v>
      </c>
      <c r="M4" s="11"/>
      <c r="N4" s="11"/>
      <c r="O4" s="11"/>
      <c r="P4" s="11"/>
      <c r="Q4" s="11"/>
      <c r="R4" s="11"/>
      <c r="S4" s="11"/>
      <c r="T4" s="11"/>
      <c r="U4" s="11"/>
      <c r="V4" s="11"/>
      <c r="W4" s="11"/>
      <c r="X4" s="11"/>
      <c r="Y4" s="11"/>
      <c r="Z4" s="11"/>
      <c r="AA4" s="11"/>
      <c r="AB4" s="11"/>
      <c r="AC4" s="11"/>
      <c r="AD4" s="11"/>
      <c r="AE4" s="11"/>
    </row>
    <row r="5">
      <c r="A5" s="5" t="s">
        <v>272</v>
      </c>
      <c r="B5" s="57" t="s">
        <v>15</v>
      </c>
      <c r="C5" s="121"/>
      <c r="D5" s="117">
        <v>50.0</v>
      </c>
      <c r="E5" s="118">
        <v>59.99</v>
      </c>
      <c r="F5" s="119">
        <v>70000.0</v>
      </c>
      <c r="G5" s="118">
        <v>7500.0</v>
      </c>
      <c r="H5" s="18" t="s">
        <v>274</v>
      </c>
      <c r="I5" s="120">
        <v>40087.0</v>
      </c>
      <c r="J5" s="18" t="s">
        <v>275</v>
      </c>
      <c r="K5" s="18" t="s">
        <v>276</v>
      </c>
      <c r="L5" s="29" t="s">
        <v>277</v>
      </c>
      <c r="M5" s="11"/>
      <c r="N5" s="11"/>
      <c r="O5" s="11"/>
      <c r="P5" s="11"/>
      <c r="Q5" s="11"/>
      <c r="R5" s="11"/>
      <c r="S5" s="11"/>
      <c r="T5" s="11"/>
      <c r="U5" s="11"/>
      <c r="V5" s="11"/>
      <c r="W5" s="11"/>
      <c r="X5" s="11"/>
      <c r="Y5" s="11"/>
      <c r="Z5" s="11"/>
      <c r="AA5" s="11"/>
      <c r="AB5" s="11"/>
      <c r="AC5" s="11"/>
      <c r="AD5" s="11"/>
      <c r="AE5" s="11"/>
    </row>
    <row r="6">
      <c r="A6" s="5" t="s">
        <v>272</v>
      </c>
      <c r="B6" s="57" t="s">
        <v>15</v>
      </c>
      <c r="C6" s="117"/>
      <c r="D6" s="117">
        <v>60.0</v>
      </c>
      <c r="E6" s="118">
        <v>69.99</v>
      </c>
      <c r="F6" s="119">
        <v>90000.0</v>
      </c>
      <c r="G6" s="118">
        <v>7500.0</v>
      </c>
      <c r="H6" s="18" t="s">
        <v>274</v>
      </c>
      <c r="I6" s="120">
        <v>40087.0</v>
      </c>
      <c r="J6" s="18" t="s">
        <v>275</v>
      </c>
      <c r="K6" s="18" t="s">
        <v>276</v>
      </c>
      <c r="L6" s="29" t="s">
        <v>277</v>
      </c>
      <c r="M6" s="11"/>
      <c r="N6" s="11"/>
      <c r="O6" s="11"/>
      <c r="P6" s="11"/>
      <c r="Q6" s="11"/>
      <c r="R6" s="11"/>
      <c r="S6" s="11"/>
      <c r="T6" s="11"/>
      <c r="U6" s="11"/>
      <c r="V6" s="11"/>
      <c r="W6" s="11"/>
      <c r="X6" s="11"/>
      <c r="Y6" s="11"/>
      <c r="Z6" s="11"/>
      <c r="AA6" s="11"/>
      <c r="AB6" s="11"/>
      <c r="AC6" s="11"/>
      <c r="AD6" s="11"/>
      <c r="AE6" s="11"/>
    </row>
    <row r="7">
      <c r="A7" s="5" t="s">
        <v>272</v>
      </c>
      <c r="B7" s="57" t="s">
        <v>15</v>
      </c>
      <c r="C7" s="117" t="s">
        <v>278</v>
      </c>
      <c r="D7" s="117">
        <v>70.0</v>
      </c>
      <c r="E7" s="118">
        <v>100.0</v>
      </c>
      <c r="F7" s="119">
        <v>110000.0</v>
      </c>
      <c r="G7" s="118">
        <v>7500.0</v>
      </c>
      <c r="H7" s="18" t="s">
        <v>274</v>
      </c>
      <c r="I7" s="120">
        <v>40087.0</v>
      </c>
      <c r="J7" s="18" t="s">
        <v>275</v>
      </c>
      <c r="K7" s="18" t="s">
        <v>276</v>
      </c>
      <c r="L7" s="29" t="s">
        <v>277</v>
      </c>
      <c r="M7" s="11"/>
      <c r="N7" s="11"/>
      <c r="O7" s="11"/>
      <c r="P7" s="11"/>
      <c r="Q7" s="11"/>
      <c r="R7" s="11"/>
      <c r="S7" s="11"/>
      <c r="T7" s="11"/>
      <c r="U7" s="11"/>
      <c r="V7" s="11"/>
      <c r="W7" s="11"/>
      <c r="X7" s="11"/>
      <c r="Y7" s="11"/>
      <c r="Z7" s="11"/>
      <c r="AA7" s="11"/>
      <c r="AB7" s="11"/>
      <c r="AC7" s="11"/>
      <c r="AD7" s="11"/>
      <c r="AE7" s="11"/>
    </row>
    <row r="8">
      <c r="A8" s="5" t="s">
        <v>272</v>
      </c>
      <c r="B8" s="57" t="s">
        <v>15</v>
      </c>
      <c r="C8" s="117" t="s">
        <v>273</v>
      </c>
      <c r="D8" s="117">
        <v>0.0</v>
      </c>
      <c r="E8" s="118">
        <v>29.99</v>
      </c>
      <c r="F8" s="119">
        <v>10000.0</v>
      </c>
      <c r="G8" s="122" t="s">
        <v>37</v>
      </c>
      <c r="H8" s="18" t="s">
        <v>274</v>
      </c>
      <c r="I8" s="123" t="s">
        <v>279</v>
      </c>
      <c r="J8" s="18"/>
      <c r="K8" s="18" t="s">
        <v>276</v>
      </c>
      <c r="L8" s="29" t="s">
        <v>277</v>
      </c>
      <c r="M8" s="11"/>
      <c r="N8" s="11"/>
      <c r="O8" s="11"/>
      <c r="P8" s="11"/>
      <c r="Q8" s="11"/>
      <c r="R8" s="11"/>
      <c r="S8" s="11"/>
      <c r="T8" s="11"/>
      <c r="U8" s="11"/>
      <c r="V8" s="11"/>
      <c r="W8" s="11"/>
      <c r="X8" s="11"/>
      <c r="Y8" s="11"/>
      <c r="Z8" s="11"/>
      <c r="AA8" s="11"/>
      <c r="AB8" s="11"/>
      <c r="AC8" s="11"/>
      <c r="AD8" s="11"/>
      <c r="AE8" s="11"/>
    </row>
    <row r="9">
      <c r="A9" s="5" t="s">
        <v>272</v>
      </c>
      <c r="B9" s="57" t="s">
        <v>15</v>
      </c>
      <c r="C9" s="117"/>
      <c r="D9" s="117">
        <v>30.0</v>
      </c>
      <c r="E9" s="118">
        <v>39.99</v>
      </c>
      <c r="F9" s="119">
        <v>30000.0</v>
      </c>
      <c r="G9" s="122" t="s">
        <v>37</v>
      </c>
      <c r="H9" s="18" t="s">
        <v>274</v>
      </c>
      <c r="I9" s="123" t="s">
        <v>279</v>
      </c>
      <c r="J9" s="18"/>
      <c r="K9" s="18" t="s">
        <v>276</v>
      </c>
      <c r="L9" s="29" t="s">
        <v>277</v>
      </c>
      <c r="M9" s="11"/>
      <c r="N9" s="11"/>
      <c r="O9" s="11"/>
      <c r="P9" s="11"/>
      <c r="Q9" s="11"/>
      <c r="R9" s="11"/>
      <c r="S9" s="11"/>
      <c r="T9" s="11"/>
      <c r="U9" s="11"/>
      <c r="V9" s="11"/>
      <c r="W9" s="11"/>
      <c r="X9" s="11"/>
      <c r="Y9" s="11"/>
      <c r="Z9" s="11"/>
      <c r="AA9" s="11"/>
      <c r="AB9" s="11"/>
      <c r="AC9" s="11"/>
      <c r="AD9" s="11"/>
      <c r="AE9" s="11"/>
    </row>
    <row r="10">
      <c r="A10" s="5" t="s">
        <v>272</v>
      </c>
      <c r="B10" s="57" t="s">
        <v>15</v>
      </c>
      <c r="C10" s="117"/>
      <c r="D10" s="117">
        <v>40.0</v>
      </c>
      <c r="E10" s="118">
        <v>49.99</v>
      </c>
      <c r="F10" s="119">
        <v>40000.0</v>
      </c>
      <c r="G10" s="122" t="s">
        <v>37</v>
      </c>
      <c r="H10" s="18" t="s">
        <v>274</v>
      </c>
      <c r="I10" s="123" t="s">
        <v>279</v>
      </c>
      <c r="J10" s="18"/>
      <c r="K10" s="18" t="s">
        <v>276</v>
      </c>
      <c r="L10" s="29" t="s">
        <v>277</v>
      </c>
      <c r="M10" s="11"/>
      <c r="N10" s="11"/>
      <c r="O10" s="11"/>
      <c r="P10" s="11"/>
      <c r="Q10" s="11"/>
      <c r="R10" s="11"/>
      <c r="S10" s="11"/>
      <c r="T10" s="11"/>
      <c r="U10" s="11"/>
      <c r="V10" s="11"/>
      <c r="W10" s="11"/>
      <c r="X10" s="11"/>
      <c r="Y10" s="11"/>
      <c r="Z10" s="11"/>
      <c r="AA10" s="11"/>
      <c r="AB10" s="11"/>
      <c r="AC10" s="11"/>
      <c r="AD10" s="11"/>
      <c r="AE10" s="11"/>
    </row>
    <row r="11">
      <c r="A11" s="5" t="s">
        <v>272</v>
      </c>
      <c r="B11" s="57" t="s">
        <v>15</v>
      </c>
      <c r="C11" s="117"/>
      <c r="D11" s="117">
        <v>50.0</v>
      </c>
      <c r="E11" s="118">
        <v>59.99</v>
      </c>
      <c r="F11" s="119">
        <v>50000.0</v>
      </c>
      <c r="G11" s="122" t="s">
        <v>37</v>
      </c>
      <c r="H11" s="18" t="s">
        <v>274</v>
      </c>
      <c r="I11" s="123" t="s">
        <v>279</v>
      </c>
      <c r="J11" s="18"/>
      <c r="K11" s="18" t="s">
        <v>276</v>
      </c>
      <c r="L11" s="29" t="s">
        <v>277</v>
      </c>
      <c r="M11" s="11"/>
      <c r="N11" s="11"/>
      <c r="O11" s="11"/>
      <c r="P11" s="11"/>
      <c r="Q11" s="11"/>
      <c r="R11" s="11"/>
      <c r="S11" s="11"/>
      <c r="T11" s="11"/>
      <c r="U11" s="11"/>
      <c r="V11" s="11"/>
      <c r="W11" s="11"/>
      <c r="X11" s="11"/>
      <c r="Y11" s="11"/>
      <c r="Z11" s="11"/>
      <c r="AA11" s="11"/>
      <c r="AB11" s="11"/>
      <c r="AC11" s="11"/>
      <c r="AD11" s="11"/>
      <c r="AE11" s="11"/>
    </row>
    <row r="12">
      <c r="A12" s="5" t="s">
        <v>272</v>
      </c>
      <c r="B12" s="57" t="s">
        <v>15</v>
      </c>
      <c r="C12" s="117"/>
      <c r="D12" s="117">
        <v>60.0</v>
      </c>
      <c r="E12" s="118">
        <v>69.99</v>
      </c>
      <c r="F12" s="119">
        <v>80000.0</v>
      </c>
      <c r="G12" s="122" t="s">
        <v>37</v>
      </c>
      <c r="H12" s="18" t="s">
        <v>274</v>
      </c>
      <c r="I12" s="123" t="s">
        <v>279</v>
      </c>
      <c r="J12" s="18"/>
      <c r="K12" s="18" t="s">
        <v>276</v>
      </c>
      <c r="L12" s="29" t="s">
        <v>277</v>
      </c>
      <c r="M12" s="11"/>
      <c r="N12" s="11"/>
      <c r="O12" s="11"/>
      <c r="P12" s="11"/>
      <c r="Q12" s="11"/>
      <c r="R12" s="11"/>
      <c r="S12" s="11"/>
      <c r="T12" s="11"/>
      <c r="U12" s="11"/>
      <c r="V12" s="11"/>
      <c r="W12" s="11"/>
      <c r="X12" s="11"/>
      <c r="Y12" s="11"/>
      <c r="Z12" s="11"/>
      <c r="AA12" s="11"/>
      <c r="AB12" s="11"/>
      <c r="AC12" s="11"/>
      <c r="AD12" s="11"/>
      <c r="AE12" s="11"/>
    </row>
    <row r="13">
      <c r="A13" s="5" t="s">
        <v>272</v>
      </c>
      <c r="B13" s="57" t="s">
        <v>15</v>
      </c>
      <c r="C13" s="117" t="s">
        <v>278</v>
      </c>
      <c r="D13" s="117">
        <v>70.0</v>
      </c>
      <c r="E13" s="118">
        <v>100.0</v>
      </c>
      <c r="F13" s="119">
        <v>100000.0</v>
      </c>
      <c r="G13" s="122" t="s">
        <v>37</v>
      </c>
      <c r="H13" s="18" t="s">
        <v>274</v>
      </c>
      <c r="I13" s="123" t="s">
        <v>279</v>
      </c>
      <c r="J13" s="18"/>
      <c r="K13" s="18" t="s">
        <v>276</v>
      </c>
      <c r="L13" s="29" t="s">
        <v>277</v>
      </c>
      <c r="M13" s="11"/>
      <c r="N13" s="11"/>
      <c r="O13" s="11"/>
      <c r="P13" s="11"/>
      <c r="Q13" s="11"/>
      <c r="R13" s="11"/>
      <c r="S13" s="11"/>
      <c r="T13" s="11"/>
      <c r="U13" s="11"/>
      <c r="V13" s="11"/>
      <c r="W13" s="11"/>
      <c r="X13" s="11"/>
      <c r="Y13" s="11"/>
      <c r="Z13" s="11"/>
      <c r="AA13" s="11"/>
      <c r="AB13" s="11"/>
      <c r="AC13" s="11"/>
      <c r="AD13" s="11"/>
      <c r="AE13" s="11"/>
    </row>
    <row r="14">
      <c r="A14" s="124"/>
      <c r="B14" s="46"/>
      <c r="C14" s="125"/>
      <c r="D14" s="125"/>
      <c r="E14" s="126"/>
      <c r="F14" s="127"/>
      <c r="G14" s="126"/>
      <c r="H14" s="46"/>
      <c r="I14" s="128"/>
      <c r="J14" s="46"/>
      <c r="K14" s="46"/>
      <c r="L14" s="46"/>
      <c r="M14" s="46"/>
      <c r="N14" s="46"/>
      <c r="O14" s="46"/>
      <c r="P14" s="46"/>
      <c r="Q14" s="46"/>
      <c r="R14" s="46"/>
      <c r="S14" s="46"/>
      <c r="T14" s="46"/>
      <c r="U14" s="46"/>
      <c r="V14" s="46"/>
      <c r="W14" s="46"/>
      <c r="X14" s="46"/>
      <c r="Y14" s="46"/>
      <c r="Z14" s="46"/>
      <c r="AA14" s="46"/>
      <c r="AB14" s="46"/>
      <c r="AC14" s="46"/>
      <c r="AD14" s="46"/>
      <c r="AE14" s="46"/>
    </row>
    <row r="15">
      <c r="A15" s="41" t="s">
        <v>280</v>
      </c>
      <c r="B15" s="129" t="s">
        <v>24</v>
      </c>
      <c r="C15" s="117" t="s">
        <v>273</v>
      </c>
      <c r="D15" s="130">
        <v>0.0</v>
      </c>
      <c r="E15" s="131">
        <v>15.99</v>
      </c>
      <c r="F15" s="132">
        <v>7000.0</v>
      </c>
      <c r="G15" s="131">
        <v>5100.0</v>
      </c>
      <c r="H15" s="18" t="s">
        <v>274</v>
      </c>
      <c r="I15" s="120">
        <v>38899.0</v>
      </c>
      <c r="J15" s="18"/>
      <c r="K15" s="11" t="s">
        <v>281</v>
      </c>
      <c r="L15" s="11"/>
      <c r="M15" s="11"/>
      <c r="N15" s="11"/>
      <c r="O15" s="11"/>
      <c r="P15" s="11"/>
      <c r="Q15" s="11"/>
      <c r="R15" s="11"/>
      <c r="S15" s="11"/>
      <c r="T15" s="11"/>
      <c r="U15" s="11"/>
      <c r="V15" s="11"/>
      <c r="W15" s="11"/>
      <c r="X15" s="11"/>
      <c r="Y15" s="11"/>
      <c r="Z15" s="11"/>
      <c r="AA15" s="11"/>
      <c r="AB15" s="11"/>
      <c r="AC15" s="11"/>
      <c r="AD15" s="11"/>
      <c r="AE15" s="11"/>
    </row>
    <row r="16">
      <c r="A16" s="41" t="s">
        <v>280</v>
      </c>
      <c r="B16" s="129" t="s">
        <v>24</v>
      </c>
      <c r="C16" s="130"/>
      <c r="D16" s="130">
        <v>16.0</v>
      </c>
      <c r="E16" s="131">
        <v>25.99</v>
      </c>
      <c r="F16" s="132">
        <v>10000.0</v>
      </c>
      <c r="G16" s="131">
        <v>5100.0</v>
      </c>
      <c r="H16" s="18" t="s">
        <v>274</v>
      </c>
      <c r="I16" s="120">
        <v>38899.0</v>
      </c>
      <c r="J16" s="18"/>
      <c r="K16" s="11" t="s">
        <v>281</v>
      </c>
      <c r="L16" s="11"/>
      <c r="M16" s="11"/>
      <c r="N16" s="11"/>
      <c r="O16" s="11"/>
      <c r="P16" s="11"/>
      <c r="Q16" s="11"/>
      <c r="R16" s="11"/>
      <c r="S16" s="11"/>
      <c r="T16" s="11"/>
      <c r="U16" s="11"/>
      <c r="V16" s="11"/>
      <c r="W16" s="11"/>
      <c r="X16" s="11"/>
      <c r="Y16" s="11"/>
      <c r="Z16" s="11"/>
      <c r="AA16" s="11"/>
      <c r="AB16" s="11"/>
      <c r="AC16" s="11"/>
      <c r="AD16" s="11"/>
      <c r="AE16" s="11"/>
    </row>
    <row r="17">
      <c r="A17" s="41" t="s">
        <v>280</v>
      </c>
      <c r="B17" s="129" t="s">
        <v>24</v>
      </c>
      <c r="C17" s="130"/>
      <c r="D17" s="130">
        <v>26.0</v>
      </c>
      <c r="E17" s="131">
        <v>35.99</v>
      </c>
      <c r="F17" s="132">
        <v>14000.0</v>
      </c>
      <c r="G17" s="131">
        <v>5100.0</v>
      </c>
      <c r="H17" s="18" t="s">
        <v>274</v>
      </c>
      <c r="I17" s="120">
        <v>38899.0</v>
      </c>
      <c r="J17" s="18"/>
      <c r="K17" s="11" t="s">
        <v>281</v>
      </c>
      <c r="L17" s="11"/>
      <c r="M17" s="11"/>
      <c r="N17" s="11"/>
      <c r="O17" s="11"/>
      <c r="P17" s="11"/>
      <c r="Q17" s="11"/>
      <c r="R17" s="11"/>
      <c r="S17" s="11"/>
      <c r="T17" s="11"/>
      <c r="U17" s="11"/>
      <c r="V17" s="11"/>
      <c r="W17" s="11"/>
      <c r="X17" s="11"/>
      <c r="Y17" s="11"/>
      <c r="Z17" s="11"/>
      <c r="AA17" s="11"/>
      <c r="AB17" s="11"/>
      <c r="AC17" s="11"/>
      <c r="AD17" s="11"/>
      <c r="AE17" s="11"/>
    </row>
    <row r="18">
      <c r="A18" s="41" t="s">
        <v>280</v>
      </c>
      <c r="B18" s="129" t="s">
        <v>24</v>
      </c>
      <c r="C18" s="130"/>
      <c r="D18" s="130">
        <v>36.0</v>
      </c>
      <c r="E18" s="131">
        <v>45.99</v>
      </c>
      <c r="F18" s="132">
        <v>18000.0</v>
      </c>
      <c r="G18" s="131">
        <v>5100.0</v>
      </c>
      <c r="H18" s="18" t="s">
        <v>274</v>
      </c>
      <c r="I18" s="120">
        <v>38899.0</v>
      </c>
      <c r="J18" s="18"/>
      <c r="K18" s="11" t="s">
        <v>281</v>
      </c>
      <c r="L18" s="11"/>
      <c r="M18" s="11"/>
      <c r="N18" s="11"/>
      <c r="O18" s="11"/>
      <c r="P18" s="11"/>
      <c r="Q18" s="11"/>
      <c r="R18" s="11"/>
      <c r="S18" s="11"/>
      <c r="T18" s="11"/>
      <c r="U18" s="11"/>
      <c r="V18" s="11"/>
      <c r="W18" s="11"/>
      <c r="X18" s="11"/>
      <c r="Y18" s="11"/>
      <c r="Z18" s="11"/>
      <c r="AA18" s="11"/>
      <c r="AB18" s="11"/>
      <c r="AC18" s="11"/>
      <c r="AD18" s="11"/>
      <c r="AE18" s="11"/>
    </row>
    <row r="19">
      <c r="A19" s="41" t="s">
        <v>280</v>
      </c>
      <c r="B19" s="129" t="s">
        <v>24</v>
      </c>
      <c r="C19" s="130"/>
      <c r="D19" s="130">
        <v>46.0</v>
      </c>
      <c r="E19" s="131">
        <v>55.99</v>
      </c>
      <c r="F19" s="132">
        <v>22000.0</v>
      </c>
      <c r="G19" s="131">
        <v>5100.0</v>
      </c>
      <c r="H19" s="18" t="s">
        <v>274</v>
      </c>
      <c r="I19" s="120">
        <v>38899.0</v>
      </c>
      <c r="J19" s="18"/>
      <c r="K19" s="11" t="s">
        <v>281</v>
      </c>
      <c r="L19" s="11"/>
      <c r="M19" s="11"/>
      <c r="N19" s="11"/>
      <c r="O19" s="11"/>
      <c r="P19" s="11"/>
      <c r="Q19" s="11"/>
      <c r="R19" s="11"/>
      <c r="S19" s="11"/>
      <c r="T19" s="11"/>
      <c r="U19" s="11"/>
      <c r="V19" s="11"/>
      <c r="W19" s="11"/>
      <c r="X19" s="11"/>
      <c r="Y19" s="11"/>
      <c r="Z19" s="11"/>
      <c r="AA19" s="11"/>
      <c r="AB19" s="11"/>
      <c r="AC19" s="11"/>
      <c r="AD19" s="11"/>
      <c r="AE19" s="11"/>
    </row>
    <row r="20">
      <c r="A20" s="41" t="s">
        <v>280</v>
      </c>
      <c r="B20" s="129" t="s">
        <v>24</v>
      </c>
      <c r="C20" s="130"/>
      <c r="D20" s="130">
        <v>56.0</v>
      </c>
      <c r="E20" s="131">
        <v>65.99</v>
      </c>
      <c r="F20" s="132">
        <v>26000.0</v>
      </c>
      <c r="G20" s="131">
        <v>5100.0</v>
      </c>
      <c r="H20" s="18" t="s">
        <v>274</v>
      </c>
      <c r="I20" s="120">
        <v>38899.0</v>
      </c>
      <c r="J20" s="18"/>
      <c r="K20" s="11" t="s">
        <v>281</v>
      </c>
      <c r="L20" s="11"/>
      <c r="M20" s="11"/>
      <c r="N20" s="11"/>
      <c r="O20" s="11"/>
      <c r="P20" s="11"/>
      <c r="Q20" s="11"/>
      <c r="R20" s="11"/>
      <c r="S20" s="11"/>
      <c r="T20" s="11"/>
      <c r="U20" s="11"/>
      <c r="V20" s="11"/>
      <c r="W20" s="11"/>
      <c r="X20" s="11"/>
      <c r="Y20" s="11"/>
      <c r="Z20" s="11"/>
      <c r="AA20" s="11"/>
      <c r="AB20" s="11"/>
      <c r="AC20" s="11"/>
      <c r="AD20" s="11"/>
      <c r="AE20" s="11"/>
    </row>
    <row r="21">
      <c r="A21" s="41" t="s">
        <v>280</v>
      </c>
      <c r="B21" s="129" t="s">
        <v>24</v>
      </c>
      <c r="C21" s="117" t="s">
        <v>278</v>
      </c>
      <c r="D21" s="130">
        <v>66.0</v>
      </c>
      <c r="E21" s="131">
        <v>100.0</v>
      </c>
      <c r="F21" s="132">
        <v>35000.0</v>
      </c>
      <c r="G21" s="131">
        <v>5100.0</v>
      </c>
      <c r="H21" s="18" t="s">
        <v>274</v>
      </c>
      <c r="I21" s="120">
        <v>38899.0</v>
      </c>
      <c r="J21" s="18"/>
      <c r="K21" s="11" t="s">
        <v>281</v>
      </c>
      <c r="L21" s="11"/>
      <c r="M21" s="11"/>
      <c r="N21" s="11"/>
      <c r="O21" s="11"/>
      <c r="P21" s="11"/>
      <c r="Q21" s="11"/>
      <c r="R21" s="11"/>
      <c r="S21" s="11"/>
      <c r="T21" s="11"/>
      <c r="U21" s="11"/>
      <c r="V21" s="11"/>
      <c r="W21" s="11"/>
      <c r="X21" s="11"/>
      <c r="Y21" s="11"/>
      <c r="Z21" s="11"/>
      <c r="AA21" s="11"/>
      <c r="AB21" s="11"/>
      <c r="AC21" s="11"/>
      <c r="AD21" s="11"/>
      <c r="AE21" s="11"/>
    </row>
    <row r="22">
      <c r="A22" s="124"/>
      <c r="B22" s="46"/>
      <c r="C22" s="125"/>
      <c r="D22" s="125"/>
      <c r="E22" s="126"/>
      <c r="F22" s="127"/>
      <c r="G22" s="126"/>
      <c r="H22" s="46"/>
      <c r="I22" s="128"/>
      <c r="J22" s="46"/>
      <c r="K22" s="46"/>
      <c r="L22" s="46"/>
      <c r="M22" s="46"/>
      <c r="N22" s="46"/>
      <c r="O22" s="46"/>
      <c r="P22" s="46"/>
      <c r="Q22" s="46"/>
      <c r="R22" s="46"/>
      <c r="S22" s="46"/>
      <c r="T22" s="46"/>
      <c r="U22" s="46"/>
      <c r="V22" s="46"/>
      <c r="W22" s="46"/>
      <c r="X22" s="46"/>
      <c r="Y22" s="46"/>
      <c r="Z22" s="46"/>
      <c r="AA22" s="46"/>
      <c r="AB22" s="46"/>
      <c r="AC22" s="46"/>
      <c r="AD22" s="46"/>
      <c r="AE22" s="46"/>
    </row>
    <row r="23">
      <c r="A23" s="133" t="s">
        <v>282</v>
      </c>
      <c r="B23" s="15" t="s">
        <v>32</v>
      </c>
      <c r="C23" s="117" t="s">
        <v>273</v>
      </c>
      <c r="D23" s="134">
        <v>0.0</v>
      </c>
      <c r="E23" s="135">
        <v>19.9</v>
      </c>
      <c r="F23" s="136">
        <v>3000.0</v>
      </c>
      <c r="G23" s="135">
        <v>4600.0</v>
      </c>
      <c r="H23" s="18" t="s">
        <v>274</v>
      </c>
      <c r="I23" s="137">
        <v>40483.0</v>
      </c>
      <c r="L23" s="11"/>
      <c r="M23" s="11"/>
      <c r="N23" s="11"/>
      <c r="O23" s="11"/>
      <c r="P23" s="11"/>
      <c r="Q23" s="11"/>
      <c r="R23" s="11"/>
      <c r="S23" s="11"/>
      <c r="T23" s="11"/>
      <c r="U23" s="11"/>
      <c r="V23" s="11"/>
      <c r="W23" s="11"/>
      <c r="X23" s="11"/>
      <c r="Y23" s="11"/>
      <c r="Z23" s="11"/>
      <c r="AA23" s="11"/>
      <c r="AB23" s="11"/>
      <c r="AC23" s="11"/>
      <c r="AD23" s="11"/>
      <c r="AE23" s="11"/>
    </row>
    <row r="24">
      <c r="A24" s="133" t="s">
        <v>282</v>
      </c>
      <c r="B24" s="15" t="s">
        <v>32</v>
      </c>
      <c r="C24" s="134"/>
      <c r="D24" s="134">
        <v>20.0</v>
      </c>
      <c r="E24" s="135">
        <v>29.9</v>
      </c>
      <c r="F24" s="136">
        <v>7000.0</v>
      </c>
      <c r="G24" s="135">
        <v>4600.0</v>
      </c>
      <c r="H24" s="18" t="s">
        <v>274</v>
      </c>
      <c r="I24" s="137">
        <v>40483.0</v>
      </c>
      <c r="L24" s="11"/>
      <c r="M24" s="11"/>
      <c r="N24" s="11"/>
      <c r="O24" s="11"/>
      <c r="P24" s="11"/>
      <c r="Q24" s="11"/>
      <c r="R24" s="11"/>
      <c r="S24" s="11"/>
      <c r="T24" s="11"/>
      <c r="U24" s="11"/>
      <c r="V24" s="11"/>
      <c r="W24" s="11"/>
      <c r="X24" s="11"/>
      <c r="Y24" s="11"/>
      <c r="Z24" s="11"/>
      <c r="AA24" s="11"/>
      <c r="AB24" s="11"/>
      <c r="AC24" s="11"/>
      <c r="AD24" s="11"/>
      <c r="AE24" s="11"/>
    </row>
    <row r="25">
      <c r="A25" s="133" t="s">
        <v>282</v>
      </c>
      <c r="B25" s="15" t="s">
        <v>32</v>
      </c>
      <c r="C25" s="134"/>
      <c r="D25" s="134">
        <v>30.0</v>
      </c>
      <c r="E25" s="135">
        <v>39.9</v>
      </c>
      <c r="F25" s="136">
        <v>10000.0</v>
      </c>
      <c r="G25" s="135">
        <v>4600.0</v>
      </c>
      <c r="H25" s="18" t="s">
        <v>274</v>
      </c>
      <c r="I25" s="137">
        <v>40483.0</v>
      </c>
      <c r="L25" s="11"/>
      <c r="M25" s="11"/>
      <c r="N25" s="11"/>
      <c r="O25" s="11"/>
      <c r="P25" s="11"/>
      <c r="Q25" s="11"/>
      <c r="R25" s="11"/>
      <c r="S25" s="11"/>
      <c r="T25" s="11"/>
      <c r="U25" s="11"/>
      <c r="V25" s="11"/>
      <c r="W25" s="11"/>
      <c r="X25" s="11"/>
      <c r="Y25" s="11"/>
      <c r="Z25" s="11"/>
      <c r="AA25" s="11"/>
      <c r="AB25" s="11"/>
      <c r="AC25" s="11"/>
      <c r="AD25" s="11"/>
      <c r="AE25" s="11"/>
    </row>
    <row r="26">
      <c r="A26" s="133" t="s">
        <v>282</v>
      </c>
      <c r="B26" s="15" t="s">
        <v>32</v>
      </c>
      <c r="C26" s="134"/>
      <c r="D26" s="134">
        <v>40.0</v>
      </c>
      <c r="E26" s="135">
        <v>49.9</v>
      </c>
      <c r="F26" s="136">
        <v>15000.0</v>
      </c>
      <c r="G26" s="135">
        <v>4600.0</v>
      </c>
      <c r="H26" s="18" t="s">
        <v>274</v>
      </c>
      <c r="I26" s="137">
        <v>40483.0</v>
      </c>
      <c r="L26" s="11"/>
      <c r="M26" s="11"/>
      <c r="N26" s="11"/>
      <c r="O26" s="11"/>
      <c r="P26" s="11"/>
      <c r="Q26" s="11"/>
      <c r="R26" s="11"/>
      <c r="S26" s="11"/>
      <c r="T26" s="11"/>
      <c r="U26" s="11"/>
      <c r="V26" s="11"/>
      <c r="W26" s="11"/>
      <c r="X26" s="11"/>
      <c r="Y26" s="11"/>
      <c r="Z26" s="11"/>
      <c r="AA26" s="11"/>
      <c r="AB26" s="11"/>
      <c r="AC26" s="11"/>
      <c r="AD26" s="11"/>
      <c r="AE26" s="11"/>
    </row>
    <row r="27">
      <c r="A27" s="133" t="s">
        <v>282</v>
      </c>
      <c r="B27" s="15" t="s">
        <v>32</v>
      </c>
      <c r="C27" s="134"/>
      <c r="D27" s="134">
        <v>50.0</v>
      </c>
      <c r="E27" s="135">
        <v>59.9</v>
      </c>
      <c r="F27" s="136">
        <v>21000.0</v>
      </c>
      <c r="G27" s="135">
        <v>4600.0</v>
      </c>
      <c r="H27" s="18" t="s">
        <v>274</v>
      </c>
      <c r="I27" s="137">
        <v>40483.0</v>
      </c>
      <c r="L27" s="11"/>
      <c r="M27" s="11"/>
      <c r="N27" s="11"/>
      <c r="O27" s="11"/>
      <c r="P27" s="11"/>
      <c r="Q27" s="11"/>
      <c r="R27" s="11"/>
      <c r="S27" s="11"/>
      <c r="T27" s="11"/>
      <c r="U27" s="11"/>
      <c r="V27" s="11"/>
      <c r="W27" s="11"/>
      <c r="X27" s="11"/>
      <c r="Y27" s="11"/>
      <c r="Z27" s="11"/>
      <c r="AA27" s="11"/>
      <c r="AB27" s="11"/>
      <c r="AC27" s="11"/>
      <c r="AD27" s="11"/>
      <c r="AE27" s="11"/>
    </row>
    <row r="28">
      <c r="A28" s="133" t="s">
        <v>282</v>
      </c>
      <c r="B28" s="15" t="s">
        <v>32</v>
      </c>
      <c r="C28" s="134"/>
      <c r="D28" s="134">
        <v>60.0</v>
      </c>
      <c r="E28" s="135">
        <v>69.9</v>
      </c>
      <c r="F28" s="136">
        <v>27000.0</v>
      </c>
      <c r="G28" s="135">
        <v>4600.0</v>
      </c>
      <c r="H28" s="18" t="s">
        <v>274</v>
      </c>
      <c r="I28" s="137">
        <v>40483.0</v>
      </c>
      <c r="L28" s="11"/>
      <c r="M28" s="11"/>
      <c r="N28" s="11"/>
      <c r="O28" s="11"/>
      <c r="P28" s="11"/>
      <c r="Q28" s="11"/>
      <c r="R28" s="11"/>
      <c r="S28" s="11"/>
      <c r="T28" s="11"/>
      <c r="U28" s="11"/>
      <c r="V28" s="11"/>
      <c r="W28" s="11"/>
      <c r="X28" s="11"/>
      <c r="Y28" s="11"/>
      <c r="Z28" s="11"/>
      <c r="AA28" s="11"/>
      <c r="AB28" s="11"/>
      <c r="AC28" s="11"/>
      <c r="AD28" s="11"/>
      <c r="AE28" s="11"/>
    </row>
    <row r="29">
      <c r="A29" s="133" t="s">
        <v>282</v>
      </c>
      <c r="B29" s="15" t="s">
        <v>32</v>
      </c>
      <c r="C29" s="117" t="s">
        <v>278</v>
      </c>
      <c r="D29" s="134">
        <v>70.0</v>
      </c>
      <c r="E29" s="135">
        <v>100.0</v>
      </c>
      <c r="F29" s="136">
        <v>35000.0</v>
      </c>
      <c r="G29" s="135">
        <v>4600.0</v>
      </c>
      <c r="H29" s="18" t="s">
        <v>274</v>
      </c>
      <c r="I29" s="137">
        <v>40483.0</v>
      </c>
      <c r="L29" s="11"/>
      <c r="M29" s="11"/>
      <c r="N29" s="11"/>
      <c r="O29" s="11"/>
      <c r="P29" s="11"/>
      <c r="Q29" s="11"/>
      <c r="R29" s="11"/>
      <c r="S29" s="11"/>
      <c r="T29" s="11"/>
      <c r="U29" s="11"/>
      <c r="V29" s="11"/>
      <c r="W29" s="11"/>
      <c r="X29" s="11"/>
      <c r="Y29" s="11"/>
      <c r="Z29" s="11"/>
      <c r="AA29" s="11"/>
      <c r="AB29" s="11"/>
      <c r="AC29" s="11"/>
      <c r="AD29" s="11"/>
      <c r="AE29" s="11"/>
    </row>
    <row r="30">
      <c r="A30" s="124"/>
      <c r="B30" s="46"/>
      <c r="C30" s="125"/>
      <c r="D30" s="125"/>
      <c r="E30" s="126"/>
      <c r="F30" s="127"/>
      <c r="G30" s="126"/>
      <c r="H30" s="46"/>
      <c r="I30" s="128"/>
      <c r="J30" s="46"/>
      <c r="K30" s="46"/>
      <c r="L30" s="46"/>
      <c r="M30" s="46"/>
      <c r="N30" s="46"/>
      <c r="O30" s="46"/>
      <c r="P30" s="46"/>
      <c r="Q30" s="46"/>
      <c r="R30" s="46"/>
      <c r="S30" s="46"/>
      <c r="T30" s="46"/>
      <c r="U30" s="46"/>
      <c r="V30" s="46"/>
      <c r="W30" s="46"/>
      <c r="X30" s="46"/>
      <c r="Y30" s="46"/>
      <c r="Z30" s="46"/>
      <c r="AA30" s="46"/>
      <c r="AB30" s="46"/>
      <c r="AC30" s="46"/>
      <c r="AD30" s="46"/>
      <c r="AE30" s="46"/>
    </row>
    <row r="31">
      <c r="A31" s="133" t="s">
        <v>283</v>
      </c>
      <c r="B31" s="15" t="s">
        <v>46</v>
      </c>
      <c r="C31" s="117" t="s">
        <v>273</v>
      </c>
      <c r="D31" s="134">
        <v>0.0</v>
      </c>
      <c r="E31" s="135">
        <v>19.9</v>
      </c>
      <c r="F31" s="136">
        <v>2500.0</v>
      </c>
      <c r="G31" s="138">
        <v>7400.0</v>
      </c>
      <c r="H31" s="18" t="s">
        <v>274</v>
      </c>
      <c r="I31" s="123" t="s">
        <v>238</v>
      </c>
      <c r="K31" s="61"/>
      <c r="L31" s="11"/>
      <c r="M31" s="11"/>
      <c r="N31" s="11"/>
      <c r="O31" s="11"/>
      <c r="P31" s="11"/>
      <c r="Q31" s="11"/>
      <c r="R31" s="11"/>
      <c r="S31" s="11"/>
      <c r="T31" s="11"/>
      <c r="U31" s="11"/>
      <c r="V31" s="11"/>
      <c r="W31" s="11"/>
      <c r="X31" s="11"/>
      <c r="Y31" s="11"/>
      <c r="Z31" s="11"/>
      <c r="AA31" s="11"/>
      <c r="AB31" s="11"/>
      <c r="AC31" s="11"/>
      <c r="AD31" s="11"/>
    </row>
    <row r="32">
      <c r="A32" s="133" t="s">
        <v>283</v>
      </c>
      <c r="B32" s="15" t="s">
        <v>46</v>
      </c>
      <c r="C32" s="134"/>
      <c r="D32" s="134">
        <v>20.0</v>
      </c>
      <c r="E32" s="135">
        <v>29.9</v>
      </c>
      <c r="F32" s="136">
        <v>5000.0</v>
      </c>
      <c r="G32" s="138">
        <v>7400.0</v>
      </c>
      <c r="H32" s="18" t="s">
        <v>274</v>
      </c>
      <c r="I32" s="123" t="s">
        <v>238</v>
      </c>
      <c r="K32" s="61"/>
      <c r="L32" s="11"/>
      <c r="M32" s="11"/>
      <c r="N32" s="11"/>
      <c r="O32" s="11"/>
      <c r="P32" s="11"/>
      <c r="Q32" s="11"/>
      <c r="R32" s="11"/>
      <c r="S32" s="11"/>
      <c r="T32" s="11"/>
      <c r="U32" s="11"/>
      <c r="V32" s="11"/>
      <c r="W32" s="11"/>
      <c r="X32" s="11"/>
      <c r="Y32" s="11"/>
      <c r="Z32" s="11"/>
      <c r="AA32" s="11"/>
      <c r="AB32" s="11"/>
      <c r="AC32" s="11"/>
      <c r="AD32" s="11"/>
    </row>
    <row r="33">
      <c r="A33" s="133" t="s">
        <v>283</v>
      </c>
      <c r="B33" s="15" t="s">
        <v>46</v>
      </c>
      <c r="C33" s="134"/>
      <c r="D33" s="134">
        <v>30.0</v>
      </c>
      <c r="E33" s="135">
        <v>39.9</v>
      </c>
      <c r="F33" s="136">
        <v>15000.0</v>
      </c>
      <c r="G33" s="138">
        <v>7400.0</v>
      </c>
      <c r="H33" s="18" t="s">
        <v>274</v>
      </c>
      <c r="I33" s="123" t="s">
        <v>238</v>
      </c>
      <c r="K33" s="61"/>
      <c r="L33" s="11"/>
      <c r="M33" s="11"/>
      <c r="N33" s="11"/>
      <c r="O33" s="11"/>
      <c r="P33" s="11"/>
      <c r="Q33" s="11"/>
      <c r="R33" s="11"/>
      <c r="S33" s="11"/>
      <c r="T33" s="11"/>
      <c r="U33" s="11"/>
      <c r="V33" s="11"/>
      <c r="W33" s="11"/>
      <c r="X33" s="11"/>
      <c r="Y33" s="11"/>
      <c r="Z33" s="11"/>
      <c r="AA33" s="11"/>
      <c r="AB33" s="11"/>
      <c r="AC33" s="11"/>
      <c r="AD33" s="11"/>
    </row>
    <row r="34">
      <c r="A34" s="133" t="s">
        <v>283</v>
      </c>
      <c r="B34" s="15" t="s">
        <v>46</v>
      </c>
      <c r="C34" s="134"/>
      <c r="D34" s="134">
        <v>40.0</v>
      </c>
      <c r="E34" s="135">
        <v>49.9</v>
      </c>
      <c r="F34" s="136">
        <v>20000.0</v>
      </c>
      <c r="G34" s="138">
        <v>7400.0</v>
      </c>
      <c r="H34" s="18" t="s">
        <v>274</v>
      </c>
      <c r="I34" s="123" t="s">
        <v>238</v>
      </c>
      <c r="K34" s="61"/>
      <c r="L34" s="11"/>
      <c r="M34" s="11"/>
      <c r="N34" s="11"/>
      <c r="O34" s="11"/>
      <c r="P34" s="11"/>
      <c r="Q34" s="11"/>
      <c r="R34" s="11"/>
      <c r="S34" s="11"/>
      <c r="T34" s="11"/>
      <c r="U34" s="11"/>
      <c r="V34" s="11"/>
      <c r="W34" s="11"/>
      <c r="X34" s="11"/>
      <c r="Y34" s="11"/>
      <c r="Z34" s="11"/>
      <c r="AA34" s="11"/>
      <c r="AB34" s="11"/>
      <c r="AC34" s="11"/>
      <c r="AD34" s="11"/>
    </row>
    <row r="35">
      <c r="A35" s="133" t="s">
        <v>283</v>
      </c>
      <c r="B35" s="15" t="s">
        <v>46</v>
      </c>
      <c r="C35" s="134"/>
      <c r="D35" s="134">
        <v>50.0</v>
      </c>
      <c r="E35" s="135">
        <v>59.9</v>
      </c>
      <c r="F35" s="136">
        <v>25000.0</v>
      </c>
      <c r="G35" s="138">
        <v>7400.0</v>
      </c>
      <c r="H35" s="18" t="s">
        <v>274</v>
      </c>
      <c r="I35" s="123" t="s">
        <v>238</v>
      </c>
      <c r="K35" s="61"/>
      <c r="L35" s="11"/>
      <c r="M35" s="11"/>
      <c r="N35" s="11"/>
      <c r="O35" s="11"/>
      <c r="P35" s="11"/>
      <c r="Q35" s="11"/>
      <c r="R35" s="11"/>
      <c r="S35" s="11"/>
      <c r="T35" s="11"/>
      <c r="U35" s="11"/>
      <c r="V35" s="11"/>
      <c r="W35" s="11"/>
      <c r="X35" s="11"/>
      <c r="Y35" s="11"/>
      <c r="Z35" s="11"/>
      <c r="AA35" s="11"/>
      <c r="AB35" s="11"/>
      <c r="AC35" s="11"/>
      <c r="AD35" s="11"/>
    </row>
    <row r="36">
      <c r="A36" s="133" t="s">
        <v>283</v>
      </c>
      <c r="B36" s="15" t="s">
        <v>46</v>
      </c>
      <c r="C36" s="134"/>
      <c r="D36" s="134">
        <v>60.0</v>
      </c>
      <c r="E36" s="135">
        <v>69.9</v>
      </c>
      <c r="F36" s="136">
        <v>40000.0</v>
      </c>
      <c r="G36" s="138">
        <v>7400.0</v>
      </c>
      <c r="H36" s="18" t="s">
        <v>274</v>
      </c>
      <c r="I36" s="123" t="s">
        <v>238</v>
      </c>
      <c r="K36" s="61"/>
      <c r="L36" s="11"/>
      <c r="M36" s="11"/>
      <c r="N36" s="11"/>
      <c r="O36" s="11"/>
      <c r="P36" s="11"/>
      <c r="Q36" s="11"/>
      <c r="R36" s="11"/>
      <c r="S36" s="11"/>
      <c r="T36" s="11"/>
      <c r="U36" s="11"/>
      <c r="V36" s="11"/>
      <c r="W36" s="11"/>
      <c r="X36" s="11"/>
      <c r="Y36" s="11"/>
      <c r="Z36" s="11"/>
      <c r="AA36" s="11"/>
      <c r="AB36" s="11"/>
      <c r="AC36" s="11"/>
      <c r="AD36" s="11"/>
    </row>
    <row r="37">
      <c r="A37" s="133" t="s">
        <v>283</v>
      </c>
      <c r="B37" s="15" t="s">
        <v>46</v>
      </c>
      <c r="C37" s="117" t="s">
        <v>278</v>
      </c>
      <c r="D37" s="134">
        <v>70.0</v>
      </c>
      <c r="E37" s="135">
        <v>100.0</v>
      </c>
      <c r="F37" s="136">
        <v>55000.0</v>
      </c>
      <c r="G37" s="138">
        <v>7400.0</v>
      </c>
      <c r="H37" s="18" t="s">
        <v>274</v>
      </c>
      <c r="I37" s="123" t="s">
        <v>238</v>
      </c>
      <c r="K37" s="61"/>
      <c r="L37" s="11"/>
      <c r="M37" s="11"/>
      <c r="N37" s="11"/>
      <c r="O37" s="11"/>
      <c r="P37" s="11"/>
      <c r="Q37" s="11"/>
      <c r="R37" s="11"/>
      <c r="S37" s="11"/>
      <c r="T37" s="11"/>
      <c r="U37" s="11"/>
      <c r="V37" s="11"/>
      <c r="W37" s="11"/>
      <c r="X37" s="11"/>
      <c r="Y37" s="11"/>
      <c r="Z37" s="11"/>
      <c r="AA37" s="11"/>
      <c r="AB37" s="11"/>
      <c r="AC37" s="11"/>
      <c r="AD37" s="11"/>
    </row>
    <row r="38">
      <c r="A38" s="124"/>
      <c r="B38" s="46"/>
      <c r="C38" s="125"/>
      <c r="D38" s="125"/>
      <c r="E38" s="126"/>
      <c r="F38" s="127"/>
      <c r="G38" s="126"/>
      <c r="H38" s="46"/>
      <c r="I38" s="128"/>
      <c r="J38" s="46"/>
      <c r="K38" s="46"/>
      <c r="L38" s="46"/>
      <c r="M38" s="46"/>
      <c r="N38" s="46"/>
      <c r="O38" s="46"/>
      <c r="P38" s="46"/>
      <c r="Q38" s="46"/>
      <c r="R38" s="46"/>
      <c r="S38" s="46"/>
      <c r="T38" s="46"/>
      <c r="U38" s="46"/>
      <c r="V38" s="46"/>
      <c r="W38" s="46"/>
      <c r="X38" s="46"/>
      <c r="Y38" s="46"/>
      <c r="Z38" s="46"/>
      <c r="AA38" s="46"/>
      <c r="AB38" s="46"/>
      <c r="AC38" s="46"/>
      <c r="AD38" s="46"/>
      <c r="AE38" s="46"/>
    </row>
    <row r="39">
      <c r="A39" s="37" t="s">
        <v>49</v>
      </c>
      <c r="B39" s="7" t="s">
        <v>50</v>
      </c>
      <c r="C39" s="117" t="s">
        <v>273</v>
      </c>
      <c r="D39" s="134">
        <v>0.0</v>
      </c>
      <c r="E39" s="135">
        <v>19.9</v>
      </c>
      <c r="F39" s="136">
        <v>1000.0</v>
      </c>
      <c r="G39" s="131">
        <v>3100.0</v>
      </c>
      <c r="H39" s="18" t="s">
        <v>274</v>
      </c>
      <c r="I39" s="121">
        <v>40878.0</v>
      </c>
      <c r="J39" s="7"/>
      <c r="L39" s="11"/>
      <c r="M39" s="18" t="s">
        <v>284</v>
      </c>
      <c r="N39" s="11"/>
      <c r="O39" s="11"/>
      <c r="P39" s="11"/>
      <c r="Q39" s="11"/>
      <c r="R39" s="11"/>
      <c r="S39" s="11"/>
      <c r="T39" s="11"/>
      <c r="U39" s="11"/>
      <c r="V39" s="11"/>
      <c r="W39" s="11"/>
      <c r="X39" s="11"/>
      <c r="Y39" s="11"/>
      <c r="Z39" s="11"/>
      <c r="AA39" s="11"/>
      <c r="AB39" s="11"/>
      <c r="AC39" s="11"/>
      <c r="AD39" s="11"/>
    </row>
    <row r="40">
      <c r="A40" s="37" t="s">
        <v>49</v>
      </c>
      <c r="B40" s="7" t="s">
        <v>50</v>
      </c>
      <c r="C40" s="134"/>
      <c r="D40" s="134">
        <v>20.0</v>
      </c>
      <c r="E40" s="135">
        <v>29.9</v>
      </c>
      <c r="F40" s="136">
        <v>4000.0</v>
      </c>
      <c r="G40" s="131">
        <v>3100.0</v>
      </c>
      <c r="H40" s="18" t="s">
        <v>274</v>
      </c>
      <c r="I40" s="121">
        <v>40878.0</v>
      </c>
      <c r="J40" s="7"/>
      <c r="L40" s="11"/>
      <c r="M40" s="18" t="s">
        <v>285</v>
      </c>
      <c r="N40" s="11"/>
      <c r="O40" s="11"/>
      <c r="P40" s="11"/>
      <c r="Q40" s="11"/>
      <c r="R40" s="11"/>
      <c r="S40" s="11"/>
      <c r="T40" s="11"/>
      <c r="U40" s="11"/>
      <c r="V40" s="11"/>
      <c r="W40" s="11"/>
      <c r="X40" s="11"/>
      <c r="Y40" s="11"/>
      <c r="Z40" s="11"/>
      <c r="AA40" s="11"/>
      <c r="AB40" s="11"/>
      <c r="AC40" s="11"/>
      <c r="AD40" s="11"/>
    </row>
    <row r="41">
      <c r="A41" s="37" t="s">
        <v>49</v>
      </c>
      <c r="B41" s="7" t="s">
        <v>50</v>
      </c>
      <c r="C41" s="134"/>
      <c r="D41" s="134">
        <v>30.0</v>
      </c>
      <c r="E41" s="135">
        <v>39.9</v>
      </c>
      <c r="F41" s="136">
        <v>7000.0</v>
      </c>
      <c r="G41" s="131">
        <v>3100.0</v>
      </c>
      <c r="H41" s="18" t="s">
        <v>274</v>
      </c>
      <c r="I41" s="121">
        <v>40878.0</v>
      </c>
      <c r="J41" s="7"/>
      <c r="L41" s="11"/>
      <c r="M41" s="11"/>
      <c r="N41" s="11"/>
      <c r="O41" s="11"/>
      <c r="P41" s="11"/>
      <c r="Q41" s="11"/>
      <c r="R41" s="11"/>
      <c r="S41" s="11"/>
      <c r="T41" s="11"/>
      <c r="U41" s="11"/>
      <c r="V41" s="11"/>
      <c r="W41" s="11"/>
      <c r="X41" s="11"/>
      <c r="Y41" s="11"/>
      <c r="Z41" s="11"/>
      <c r="AA41" s="11"/>
      <c r="AB41" s="11"/>
      <c r="AC41" s="11"/>
      <c r="AD41" s="11"/>
    </row>
    <row r="42">
      <c r="A42" s="37" t="s">
        <v>49</v>
      </c>
      <c r="B42" s="7" t="s">
        <v>50</v>
      </c>
      <c r="C42" s="134"/>
      <c r="D42" s="134">
        <v>40.0</v>
      </c>
      <c r="E42" s="135">
        <v>49.9</v>
      </c>
      <c r="F42" s="136">
        <v>10000.0</v>
      </c>
      <c r="G42" s="131">
        <v>3100.0</v>
      </c>
      <c r="H42" s="18" t="s">
        <v>274</v>
      </c>
      <c r="I42" s="121">
        <v>40878.0</v>
      </c>
      <c r="J42" s="7"/>
      <c r="L42" s="11"/>
      <c r="M42" s="11"/>
      <c r="N42" s="11"/>
      <c r="O42" s="11"/>
      <c r="P42" s="11"/>
      <c r="Q42" s="11"/>
      <c r="R42" s="11"/>
      <c r="S42" s="11"/>
      <c r="T42" s="11"/>
      <c r="U42" s="11"/>
      <c r="V42" s="11"/>
      <c r="W42" s="11"/>
      <c r="X42" s="11"/>
      <c r="Y42" s="11"/>
      <c r="Z42" s="11"/>
      <c r="AA42" s="11"/>
      <c r="AB42" s="11"/>
      <c r="AC42" s="11"/>
      <c r="AD42" s="11"/>
    </row>
    <row r="43">
      <c r="A43" s="37" t="s">
        <v>49</v>
      </c>
      <c r="B43" s="7" t="s">
        <v>50</v>
      </c>
      <c r="C43" s="134"/>
      <c r="D43" s="134">
        <v>50.0</v>
      </c>
      <c r="E43" s="135">
        <v>59.9</v>
      </c>
      <c r="F43" s="136">
        <v>15000.0</v>
      </c>
      <c r="G43" s="131">
        <v>3100.0</v>
      </c>
      <c r="H43" s="18" t="s">
        <v>274</v>
      </c>
      <c r="I43" s="121">
        <v>40878.0</v>
      </c>
      <c r="J43" s="7"/>
      <c r="L43" s="11"/>
      <c r="M43" s="11"/>
      <c r="N43" s="11"/>
      <c r="O43" s="11"/>
      <c r="P43" s="11"/>
      <c r="Q43" s="11"/>
      <c r="R43" s="11"/>
      <c r="S43" s="11"/>
      <c r="T43" s="11"/>
      <c r="U43" s="11"/>
      <c r="V43" s="11"/>
      <c r="W43" s="11"/>
      <c r="X43" s="11"/>
      <c r="Y43" s="11"/>
      <c r="Z43" s="11"/>
      <c r="AA43" s="11"/>
      <c r="AB43" s="11"/>
      <c r="AC43" s="11"/>
      <c r="AD43" s="11"/>
    </row>
    <row r="44">
      <c r="A44" s="37" t="s">
        <v>49</v>
      </c>
      <c r="B44" s="7" t="s">
        <v>50</v>
      </c>
      <c r="C44" s="134"/>
      <c r="D44" s="134">
        <v>60.0</v>
      </c>
      <c r="E44" s="135">
        <v>69.9</v>
      </c>
      <c r="F44" s="136">
        <v>20000.0</v>
      </c>
      <c r="G44" s="131">
        <v>3100.0</v>
      </c>
      <c r="H44" s="18" t="s">
        <v>274</v>
      </c>
      <c r="I44" s="121">
        <v>40878.0</v>
      </c>
      <c r="J44" s="7"/>
      <c r="L44" s="11"/>
      <c r="M44" s="11"/>
      <c r="N44" s="11"/>
      <c r="O44" s="11"/>
      <c r="P44" s="11"/>
      <c r="Q44" s="11"/>
      <c r="R44" s="11"/>
      <c r="S44" s="11"/>
      <c r="T44" s="11"/>
      <c r="U44" s="11"/>
      <c r="V44" s="11"/>
      <c r="W44" s="11"/>
      <c r="X44" s="11"/>
      <c r="Y44" s="11"/>
      <c r="Z44" s="11"/>
      <c r="AA44" s="11"/>
      <c r="AB44" s="11"/>
      <c r="AC44" s="11"/>
      <c r="AD44" s="11"/>
    </row>
    <row r="45">
      <c r="A45" s="37" t="s">
        <v>49</v>
      </c>
      <c r="B45" s="7" t="s">
        <v>50</v>
      </c>
      <c r="C45" s="117" t="s">
        <v>278</v>
      </c>
      <c r="D45" s="134">
        <v>70.0</v>
      </c>
      <c r="E45" s="135">
        <v>100.0</v>
      </c>
      <c r="F45" s="136">
        <v>25000.0</v>
      </c>
      <c r="G45" s="131">
        <v>3100.0</v>
      </c>
      <c r="H45" s="18" t="s">
        <v>274</v>
      </c>
      <c r="I45" s="121">
        <v>40878.0</v>
      </c>
      <c r="J45" s="7"/>
      <c r="L45" s="11"/>
      <c r="M45" s="11"/>
      <c r="N45" s="11"/>
      <c r="O45" s="11"/>
      <c r="P45" s="11"/>
      <c r="Q45" s="11"/>
      <c r="R45" s="11"/>
      <c r="S45" s="11"/>
      <c r="T45" s="11"/>
      <c r="U45" s="11"/>
      <c r="V45" s="11"/>
      <c r="W45" s="11"/>
      <c r="X45" s="11"/>
      <c r="Y45" s="11"/>
      <c r="Z45" s="11"/>
      <c r="AA45" s="11"/>
      <c r="AB45" s="11"/>
      <c r="AC45" s="11"/>
      <c r="AD45" s="11"/>
    </row>
    <row r="46">
      <c r="A46" s="124"/>
      <c r="B46" s="46"/>
      <c r="C46" s="125"/>
      <c r="D46" s="125"/>
      <c r="E46" s="126"/>
      <c r="F46" s="127"/>
      <c r="G46" s="126"/>
      <c r="H46" s="46"/>
      <c r="I46" s="128"/>
      <c r="J46" s="46"/>
      <c r="K46" s="46"/>
      <c r="L46" s="46"/>
      <c r="M46" s="46"/>
      <c r="N46" s="46"/>
      <c r="O46" s="46"/>
      <c r="P46" s="46"/>
      <c r="Q46" s="46"/>
      <c r="R46" s="46"/>
      <c r="S46" s="46"/>
      <c r="T46" s="46"/>
      <c r="U46" s="46"/>
      <c r="V46" s="46"/>
      <c r="W46" s="46"/>
      <c r="X46" s="46"/>
      <c r="Y46" s="46"/>
      <c r="Z46" s="46"/>
      <c r="AA46" s="46"/>
      <c r="AB46" s="46"/>
      <c r="AC46" s="46"/>
      <c r="AD46" s="46"/>
      <c r="AE46" s="46"/>
    </row>
    <row r="47">
      <c r="A47" s="37" t="s">
        <v>55</v>
      </c>
      <c r="B47" s="7" t="s">
        <v>56</v>
      </c>
      <c r="C47" s="117" t="s">
        <v>273</v>
      </c>
      <c r="D47" s="139">
        <v>0.0</v>
      </c>
      <c r="E47" s="122">
        <v>25.0</v>
      </c>
      <c r="F47" s="95">
        <v>15000.0</v>
      </c>
      <c r="G47" s="122" t="s">
        <v>37</v>
      </c>
      <c r="H47" s="18" t="s">
        <v>274</v>
      </c>
      <c r="I47" s="120">
        <v>37316.0</v>
      </c>
      <c r="J47" s="140">
        <v>38899.0</v>
      </c>
      <c r="L47" s="29" t="s">
        <v>277</v>
      </c>
    </row>
    <row r="48">
      <c r="A48" s="37" t="s">
        <v>55</v>
      </c>
      <c r="B48" s="7" t="s">
        <v>56</v>
      </c>
      <c r="C48" s="139"/>
      <c r="D48" s="139">
        <v>26.0</v>
      </c>
      <c r="E48" s="122">
        <v>35.0</v>
      </c>
      <c r="F48" s="95">
        <v>22500.0</v>
      </c>
      <c r="G48" s="122" t="s">
        <v>37</v>
      </c>
      <c r="H48" s="18" t="s">
        <v>274</v>
      </c>
      <c r="I48" s="120">
        <v>37316.0</v>
      </c>
      <c r="J48" s="140">
        <v>38899.0</v>
      </c>
      <c r="L48" s="29" t="s">
        <v>277</v>
      </c>
    </row>
    <row r="49">
      <c r="A49" s="37" t="s">
        <v>55</v>
      </c>
      <c r="B49" s="7" t="s">
        <v>56</v>
      </c>
      <c r="C49" s="139"/>
      <c r="D49" s="139">
        <v>36.0</v>
      </c>
      <c r="E49" s="122">
        <v>50.0</v>
      </c>
      <c r="F49" s="95">
        <v>37500.0</v>
      </c>
      <c r="G49" s="122" t="s">
        <v>37</v>
      </c>
      <c r="H49" s="18" t="s">
        <v>274</v>
      </c>
      <c r="I49" s="120">
        <v>37316.0</v>
      </c>
      <c r="J49" s="140">
        <v>38899.0</v>
      </c>
      <c r="L49" s="29" t="s">
        <v>277</v>
      </c>
    </row>
    <row r="50">
      <c r="A50" s="37" t="s">
        <v>55</v>
      </c>
      <c r="B50" s="7" t="s">
        <v>56</v>
      </c>
      <c r="C50" s="139"/>
      <c r="D50" s="139">
        <v>51.0</v>
      </c>
      <c r="E50" s="122">
        <v>65.0</v>
      </c>
      <c r="F50" s="95">
        <v>52500.0</v>
      </c>
      <c r="G50" s="122" t="s">
        <v>37</v>
      </c>
      <c r="H50" s="18" t="s">
        <v>274</v>
      </c>
      <c r="I50" s="120">
        <v>37316.0</v>
      </c>
      <c r="J50" s="140">
        <v>38899.0</v>
      </c>
      <c r="L50" s="29" t="s">
        <v>277</v>
      </c>
    </row>
    <row r="51">
      <c r="A51" s="37" t="s">
        <v>55</v>
      </c>
      <c r="B51" s="7" t="s">
        <v>56</v>
      </c>
      <c r="C51" s="117" t="s">
        <v>278</v>
      </c>
      <c r="D51" s="139">
        <v>65.0</v>
      </c>
      <c r="E51" s="122">
        <v>100.0</v>
      </c>
      <c r="F51" s="95">
        <v>67500.0</v>
      </c>
      <c r="G51" s="122" t="s">
        <v>37</v>
      </c>
      <c r="H51" s="18" t="s">
        <v>274</v>
      </c>
      <c r="I51" s="120">
        <v>37316.0</v>
      </c>
      <c r="J51" s="140">
        <v>38899.0</v>
      </c>
      <c r="L51" s="29" t="s">
        <v>277</v>
      </c>
    </row>
    <row r="52">
      <c r="A52" s="124"/>
      <c r="B52" s="46"/>
      <c r="C52" s="125"/>
      <c r="D52" s="125"/>
      <c r="E52" s="126"/>
      <c r="F52" s="127"/>
      <c r="G52" s="126"/>
      <c r="H52" s="46"/>
      <c r="I52" s="128"/>
      <c r="J52" s="46"/>
      <c r="K52" s="46"/>
      <c r="L52" s="46"/>
      <c r="M52" s="46"/>
      <c r="N52" s="46"/>
      <c r="O52" s="46"/>
      <c r="P52" s="46"/>
      <c r="Q52" s="46"/>
      <c r="R52" s="46"/>
      <c r="S52" s="46"/>
      <c r="T52" s="46"/>
      <c r="U52" s="46"/>
      <c r="V52" s="46"/>
      <c r="W52" s="46"/>
      <c r="X52" s="46"/>
      <c r="Y52" s="46"/>
      <c r="Z52" s="46"/>
      <c r="AA52" s="46"/>
      <c r="AB52" s="46"/>
      <c r="AC52" s="46"/>
      <c r="AD52" s="46"/>
      <c r="AE52" s="46"/>
    </row>
    <row r="53">
      <c r="A53" s="5" t="s">
        <v>59</v>
      </c>
      <c r="B53" s="7" t="s">
        <v>60</v>
      </c>
      <c r="C53" s="117" t="s">
        <v>273</v>
      </c>
      <c r="D53" s="134">
        <v>0.0</v>
      </c>
      <c r="E53" s="135">
        <v>19.9</v>
      </c>
      <c r="F53" s="136">
        <v>3000.0</v>
      </c>
      <c r="G53" s="131">
        <v>8100.0</v>
      </c>
      <c r="H53" s="18" t="s">
        <v>274</v>
      </c>
      <c r="I53" s="123" t="s">
        <v>238</v>
      </c>
    </row>
    <row r="54">
      <c r="A54" s="5" t="s">
        <v>59</v>
      </c>
      <c r="B54" s="7" t="s">
        <v>60</v>
      </c>
      <c r="C54" s="134"/>
      <c r="D54" s="134">
        <v>20.0</v>
      </c>
      <c r="E54" s="135">
        <v>29.9</v>
      </c>
      <c r="F54" s="136">
        <v>7000.0</v>
      </c>
      <c r="G54" s="131">
        <v>8100.0</v>
      </c>
      <c r="H54" s="18" t="s">
        <v>274</v>
      </c>
      <c r="I54" s="123" t="s">
        <v>238</v>
      </c>
    </row>
    <row r="55">
      <c r="A55" s="5" t="s">
        <v>59</v>
      </c>
      <c r="B55" s="7" t="s">
        <v>60</v>
      </c>
      <c r="C55" s="134"/>
      <c r="D55" s="134">
        <v>30.0</v>
      </c>
      <c r="E55" s="135">
        <v>39.9</v>
      </c>
      <c r="F55" s="136">
        <v>15000.0</v>
      </c>
      <c r="G55" s="131">
        <v>8100.0</v>
      </c>
      <c r="H55" s="18" t="s">
        <v>274</v>
      </c>
      <c r="I55" s="123" t="s">
        <v>238</v>
      </c>
    </row>
    <row r="56">
      <c r="A56" s="5" t="s">
        <v>59</v>
      </c>
      <c r="B56" s="7" t="s">
        <v>60</v>
      </c>
      <c r="C56" s="134"/>
      <c r="D56" s="134">
        <v>40.0</v>
      </c>
      <c r="E56" s="135">
        <v>49.9</v>
      </c>
      <c r="F56" s="136">
        <v>25000.0</v>
      </c>
      <c r="G56" s="131">
        <v>8100.0</v>
      </c>
      <c r="H56" s="18" t="s">
        <v>274</v>
      </c>
      <c r="I56" s="123" t="s">
        <v>238</v>
      </c>
    </row>
    <row r="57">
      <c r="A57" s="5" t="s">
        <v>59</v>
      </c>
      <c r="B57" s="7" t="s">
        <v>60</v>
      </c>
      <c r="C57" s="134"/>
      <c r="D57" s="134">
        <v>50.0</v>
      </c>
      <c r="E57" s="135">
        <v>59.9</v>
      </c>
      <c r="F57" s="136">
        <v>35000.0</v>
      </c>
      <c r="G57" s="131">
        <v>8100.0</v>
      </c>
      <c r="H57" s="18" t="s">
        <v>274</v>
      </c>
      <c r="I57" s="123" t="s">
        <v>238</v>
      </c>
    </row>
    <row r="58">
      <c r="A58" s="5" t="s">
        <v>59</v>
      </c>
      <c r="B58" s="7" t="s">
        <v>60</v>
      </c>
      <c r="C58" s="134"/>
      <c r="D58" s="134">
        <v>60.0</v>
      </c>
      <c r="E58" s="135">
        <v>69.9</v>
      </c>
      <c r="F58" s="136">
        <v>45000.0</v>
      </c>
      <c r="G58" s="131">
        <v>8100.0</v>
      </c>
      <c r="H58" s="18" t="s">
        <v>274</v>
      </c>
      <c r="I58" s="123" t="s">
        <v>238</v>
      </c>
    </row>
    <row r="59">
      <c r="A59" s="5" t="s">
        <v>59</v>
      </c>
      <c r="B59" s="7" t="s">
        <v>60</v>
      </c>
      <c r="C59" s="117" t="s">
        <v>278</v>
      </c>
      <c r="D59" s="134">
        <v>70.0</v>
      </c>
      <c r="E59" s="135">
        <v>100.0</v>
      </c>
      <c r="F59" s="136">
        <v>60000.0</v>
      </c>
      <c r="G59" s="131">
        <v>8100.0</v>
      </c>
      <c r="H59" s="18" t="s">
        <v>274</v>
      </c>
      <c r="I59" s="123" t="s">
        <v>238</v>
      </c>
    </row>
    <row r="60">
      <c r="A60" s="124"/>
      <c r="B60" s="46"/>
      <c r="C60" s="125"/>
      <c r="D60" s="125"/>
      <c r="E60" s="126"/>
      <c r="F60" s="127"/>
      <c r="G60" s="126"/>
      <c r="H60" s="46"/>
      <c r="I60" s="128"/>
      <c r="J60" s="46"/>
      <c r="K60" s="46"/>
      <c r="L60" s="46"/>
      <c r="M60" s="46"/>
      <c r="N60" s="46"/>
      <c r="O60" s="46"/>
      <c r="P60" s="46"/>
      <c r="Q60" s="46"/>
      <c r="R60" s="46"/>
      <c r="S60" s="46"/>
      <c r="T60" s="46"/>
      <c r="U60" s="46"/>
      <c r="V60" s="46"/>
      <c r="W60" s="46"/>
      <c r="X60" s="46"/>
      <c r="Y60" s="46"/>
      <c r="Z60" s="46"/>
      <c r="AA60" s="46"/>
      <c r="AB60" s="46"/>
      <c r="AC60" s="46"/>
      <c r="AD60" s="46"/>
      <c r="AE60" s="46"/>
    </row>
    <row r="61">
      <c r="A61" s="37" t="s">
        <v>62</v>
      </c>
      <c r="B61" s="7" t="s">
        <v>63</v>
      </c>
      <c r="C61" s="117" t="s">
        <v>273</v>
      </c>
      <c r="D61" s="141">
        <v>0.0</v>
      </c>
      <c r="E61" s="141">
        <v>19.9</v>
      </c>
      <c r="F61" s="136">
        <v>20000.0</v>
      </c>
      <c r="G61" s="122" t="s">
        <v>37</v>
      </c>
      <c r="H61" s="18" t="s">
        <v>274</v>
      </c>
      <c r="I61" s="137">
        <v>40087.0</v>
      </c>
      <c r="J61" s="18"/>
      <c r="K61" s="6" t="s">
        <v>286</v>
      </c>
      <c r="L61" s="11"/>
      <c r="M61" s="11"/>
      <c r="N61" s="11"/>
      <c r="O61" s="11"/>
      <c r="P61" s="11"/>
      <c r="Q61" s="11"/>
      <c r="R61" s="11"/>
      <c r="S61" s="11"/>
      <c r="T61" s="11"/>
      <c r="U61" s="11"/>
      <c r="V61" s="11"/>
      <c r="W61" s="11"/>
      <c r="X61" s="11"/>
      <c r="Y61" s="11"/>
      <c r="Z61" s="11"/>
      <c r="AA61" s="11"/>
      <c r="AB61" s="11"/>
      <c r="AC61" s="11"/>
      <c r="AD61" s="11"/>
    </row>
    <row r="62">
      <c r="A62" s="37" t="s">
        <v>62</v>
      </c>
      <c r="B62" s="7" t="s">
        <v>63</v>
      </c>
      <c r="C62" s="141"/>
      <c r="D62" s="141">
        <v>20.0</v>
      </c>
      <c r="E62" s="141">
        <v>24.9</v>
      </c>
      <c r="F62" s="136">
        <v>27000.0</v>
      </c>
      <c r="G62" s="122" t="s">
        <v>37</v>
      </c>
      <c r="H62" s="18" t="s">
        <v>274</v>
      </c>
      <c r="I62" s="137">
        <v>40087.0</v>
      </c>
      <c r="J62" s="11"/>
      <c r="K62" s="7" t="s">
        <v>287</v>
      </c>
      <c r="L62" s="11"/>
      <c r="M62" s="11"/>
      <c r="N62" s="11"/>
      <c r="O62" s="11"/>
      <c r="P62" s="11"/>
      <c r="Q62" s="11"/>
      <c r="R62" s="11"/>
      <c r="S62" s="11"/>
      <c r="T62" s="11"/>
      <c r="U62" s="11"/>
      <c r="V62" s="11"/>
      <c r="W62" s="11"/>
      <c r="X62" s="11"/>
      <c r="Y62" s="11"/>
      <c r="Z62" s="11"/>
      <c r="AA62" s="11"/>
      <c r="AB62" s="11"/>
      <c r="AC62" s="11"/>
      <c r="AD62" s="11"/>
    </row>
    <row r="63">
      <c r="A63" s="37" t="s">
        <v>62</v>
      </c>
      <c r="B63" s="7" t="s">
        <v>63</v>
      </c>
      <c r="C63" s="141"/>
      <c r="D63" s="141">
        <v>25.0</v>
      </c>
      <c r="E63" s="141">
        <v>29.9</v>
      </c>
      <c r="F63" s="136">
        <v>34000.0</v>
      </c>
      <c r="G63" s="122" t="s">
        <v>37</v>
      </c>
      <c r="H63" s="18" t="s">
        <v>274</v>
      </c>
      <c r="I63" s="137">
        <v>40087.0</v>
      </c>
      <c r="J63" s="11"/>
      <c r="K63" s="7" t="s">
        <v>287</v>
      </c>
      <c r="L63" s="11"/>
      <c r="M63" s="11"/>
      <c r="N63" s="11"/>
      <c r="O63" s="11"/>
      <c r="P63" s="11"/>
      <c r="Q63" s="11"/>
      <c r="R63" s="11"/>
      <c r="S63" s="11"/>
      <c r="T63" s="11"/>
      <c r="U63" s="11"/>
      <c r="V63" s="11"/>
      <c r="W63" s="11"/>
      <c r="X63" s="11"/>
      <c r="Y63" s="11"/>
      <c r="Z63" s="11"/>
      <c r="AA63" s="11"/>
      <c r="AB63" s="11"/>
      <c r="AC63" s="11"/>
      <c r="AD63" s="11"/>
    </row>
    <row r="64">
      <c r="A64" s="37" t="s">
        <v>62</v>
      </c>
      <c r="B64" s="7" t="s">
        <v>63</v>
      </c>
      <c r="C64" s="141"/>
      <c r="D64" s="141">
        <v>30.0</v>
      </c>
      <c r="E64" s="141">
        <v>34.9</v>
      </c>
      <c r="F64" s="136">
        <v>41000.0</v>
      </c>
      <c r="G64" s="122" t="s">
        <v>37</v>
      </c>
      <c r="H64" s="18" t="s">
        <v>274</v>
      </c>
      <c r="I64" s="137">
        <v>40087.0</v>
      </c>
      <c r="J64" s="11"/>
      <c r="K64" s="7" t="s">
        <v>287</v>
      </c>
      <c r="L64" s="11"/>
      <c r="M64" s="11"/>
      <c r="N64" s="11"/>
      <c r="O64" s="11"/>
      <c r="P64" s="11"/>
      <c r="Q64" s="11"/>
      <c r="R64" s="11"/>
      <c r="S64" s="11"/>
      <c r="T64" s="11"/>
      <c r="U64" s="11"/>
      <c r="V64" s="11"/>
      <c r="W64" s="11"/>
      <c r="X64" s="11"/>
      <c r="Y64" s="11"/>
      <c r="Z64" s="11"/>
      <c r="AA64" s="11"/>
      <c r="AB64" s="11"/>
      <c r="AC64" s="11"/>
      <c r="AD64" s="11"/>
    </row>
    <row r="65">
      <c r="A65" s="37" t="s">
        <v>62</v>
      </c>
      <c r="B65" s="7" t="s">
        <v>63</v>
      </c>
      <c r="C65" s="141"/>
      <c r="D65" s="141">
        <v>35.0</v>
      </c>
      <c r="E65" s="141">
        <v>39.9</v>
      </c>
      <c r="F65" s="136">
        <v>48000.0</v>
      </c>
      <c r="G65" s="122" t="s">
        <v>37</v>
      </c>
      <c r="H65" s="18" t="s">
        <v>274</v>
      </c>
      <c r="I65" s="137">
        <v>40087.0</v>
      </c>
      <c r="J65" s="11"/>
      <c r="K65" s="7" t="s">
        <v>287</v>
      </c>
      <c r="L65" s="11"/>
      <c r="M65" s="11"/>
      <c r="N65" s="11"/>
      <c r="O65" s="11"/>
      <c r="P65" s="11"/>
      <c r="Q65" s="11"/>
      <c r="R65" s="11"/>
      <c r="S65" s="11"/>
      <c r="T65" s="11"/>
      <c r="U65" s="11"/>
      <c r="V65" s="11"/>
      <c r="W65" s="11"/>
      <c r="X65" s="11"/>
      <c r="Y65" s="11"/>
      <c r="Z65" s="11"/>
      <c r="AA65" s="11"/>
      <c r="AB65" s="11"/>
      <c r="AC65" s="11"/>
      <c r="AD65" s="11"/>
    </row>
    <row r="66">
      <c r="A66" s="37" t="s">
        <v>62</v>
      </c>
      <c r="B66" s="7" t="s">
        <v>63</v>
      </c>
      <c r="C66" s="142"/>
      <c r="D66" s="142">
        <v>40.0</v>
      </c>
      <c r="E66" s="141">
        <v>44.9</v>
      </c>
      <c r="F66" s="136">
        <v>55000.0</v>
      </c>
      <c r="G66" s="122" t="s">
        <v>37</v>
      </c>
      <c r="H66" s="18" t="s">
        <v>274</v>
      </c>
      <c r="I66" s="137">
        <v>40087.0</v>
      </c>
      <c r="J66" s="11"/>
      <c r="K66" s="7" t="s">
        <v>287</v>
      </c>
      <c r="L66" s="11"/>
      <c r="M66" s="11"/>
      <c r="N66" s="11"/>
      <c r="O66" s="11"/>
      <c r="P66" s="11"/>
      <c r="Q66" s="11"/>
      <c r="R66" s="11"/>
      <c r="S66" s="11"/>
      <c r="T66" s="11"/>
      <c r="U66" s="11"/>
      <c r="V66" s="11"/>
      <c r="W66" s="11"/>
      <c r="X66" s="11"/>
      <c r="Y66" s="11"/>
      <c r="Z66" s="11"/>
      <c r="AA66" s="11"/>
      <c r="AB66" s="11"/>
      <c r="AC66" s="11"/>
      <c r="AD66" s="11"/>
    </row>
    <row r="67">
      <c r="A67" s="37" t="s">
        <v>62</v>
      </c>
      <c r="B67" s="7" t="s">
        <v>63</v>
      </c>
      <c r="C67" s="141"/>
      <c r="D67" s="141">
        <v>45.0</v>
      </c>
      <c r="E67" s="141">
        <v>49.9</v>
      </c>
      <c r="F67" s="136">
        <v>62000.0</v>
      </c>
      <c r="G67" s="122" t="s">
        <v>37</v>
      </c>
      <c r="H67" s="18" t="s">
        <v>274</v>
      </c>
      <c r="I67" s="137">
        <v>40087.0</v>
      </c>
      <c r="J67" s="11"/>
      <c r="K67" s="7" t="s">
        <v>287</v>
      </c>
      <c r="L67" s="11"/>
      <c r="M67" s="11"/>
      <c r="N67" s="11"/>
      <c r="O67" s="11"/>
      <c r="P67" s="11"/>
      <c r="Q67" s="11"/>
      <c r="R67" s="11"/>
      <c r="S67" s="11"/>
      <c r="T67" s="11"/>
      <c r="U67" s="11"/>
      <c r="V67" s="11"/>
      <c r="W67" s="11"/>
      <c r="X67" s="11"/>
      <c r="Y67" s="11"/>
      <c r="Z67" s="11"/>
      <c r="AA67" s="11"/>
      <c r="AB67" s="11"/>
      <c r="AC67" s="11"/>
      <c r="AD67" s="11"/>
    </row>
    <row r="68">
      <c r="A68" s="37" t="s">
        <v>62</v>
      </c>
      <c r="B68" s="7" t="s">
        <v>63</v>
      </c>
      <c r="C68" s="142"/>
      <c r="D68" s="142">
        <v>50.0</v>
      </c>
      <c r="E68" s="141">
        <v>54.9</v>
      </c>
      <c r="F68" s="136">
        <v>90000.0</v>
      </c>
      <c r="G68" s="122" t="s">
        <v>37</v>
      </c>
      <c r="H68" s="18" t="s">
        <v>274</v>
      </c>
      <c r="I68" s="137">
        <v>40087.0</v>
      </c>
      <c r="J68" s="11"/>
      <c r="K68" s="7" t="s">
        <v>287</v>
      </c>
      <c r="L68" s="11"/>
      <c r="M68" s="11"/>
      <c r="N68" s="11"/>
      <c r="O68" s="11"/>
      <c r="P68" s="11"/>
      <c r="Q68" s="11"/>
      <c r="R68" s="11"/>
      <c r="S68" s="11"/>
      <c r="T68" s="11"/>
      <c r="U68" s="11"/>
      <c r="V68" s="11"/>
      <c r="W68" s="11"/>
      <c r="X68" s="11"/>
      <c r="Y68" s="11"/>
      <c r="Z68" s="11"/>
      <c r="AA68" s="11"/>
      <c r="AB68" s="11"/>
      <c r="AC68" s="11"/>
      <c r="AD68" s="11"/>
    </row>
    <row r="69">
      <c r="A69" s="37" t="s">
        <v>62</v>
      </c>
      <c r="B69" s="7" t="s">
        <v>63</v>
      </c>
      <c r="C69" s="141"/>
      <c r="D69" s="141">
        <v>55.0</v>
      </c>
      <c r="E69" s="141">
        <v>59.9</v>
      </c>
      <c r="F69" s="136">
        <v>99000.0</v>
      </c>
      <c r="G69" s="122" t="s">
        <v>37</v>
      </c>
      <c r="H69" s="18" t="s">
        <v>274</v>
      </c>
      <c r="I69" s="137">
        <v>40087.0</v>
      </c>
      <c r="J69" s="11"/>
      <c r="K69" s="7" t="s">
        <v>287</v>
      </c>
      <c r="L69" s="11"/>
      <c r="M69" s="11"/>
      <c r="N69" s="11"/>
      <c r="O69" s="11"/>
      <c r="P69" s="11"/>
      <c r="Q69" s="11"/>
      <c r="R69" s="11"/>
      <c r="S69" s="11"/>
      <c r="T69" s="11"/>
      <c r="U69" s="11"/>
      <c r="V69" s="11"/>
      <c r="W69" s="11"/>
      <c r="X69" s="11"/>
      <c r="Y69" s="11"/>
      <c r="Z69" s="11"/>
      <c r="AA69" s="11"/>
      <c r="AB69" s="11"/>
      <c r="AC69" s="11"/>
      <c r="AD69" s="11"/>
    </row>
    <row r="70">
      <c r="A70" s="37" t="s">
        <v>62</v>
      </c>
      <c r="B70" s="7" t="s">
        <v>63</v>
      </c>
      <c r="C70" s="141"/>
      <c r="D70" s="141">
        <v>60.0</v>
      </c>
      <c r="E70" s="141">
        <v>64.9</v>
      </c>
      <c r="F70" s="136">
        <v>108000.0</v>
      </c>
      <c r="G70" s="122" t="s">
        <v>37</v>
      </c>
      <c r="H70" s="18" t="s">
        <v>274</v>
      </c>
      <c r="I70" s="137">
        <v>40087.0</v>
      </c>
      <c r="J70" s="11"/>
      <c r="K70" s="7" t="s">
        <v>287</v>
      </c>
      <c r="L70" s="11"/>
      <c r="M70" s="11"/>
      <c r="N70" s="11"/>
      <c r="O70" s="11"/>
      <c r="P70" s="11"/>
      <c r="Q70" s="11"/>
      <c r="R70" s="11"/>
      <c r="S70" s="11"/>
      <c r="T70" s="11"/>
      <c r="U70" s="11"/>
      <c r="V70" s="11"/>
      <c r="W70" s="11"/>
      <c r="X70" s="11"/>
      <c r="Y70" s="11"/>
      <c r="Z70" s="11"/>
      <c r="AA70" s="11"/>
      <c r="AB70" s="11"/>
      <c r="AC70" s="11"/>
      <c r="AD70" s="11"/>
    </row>
    <row r="71">
      <c r="A71" s="37" t="s">
        <v>62</v>
      </c>
      <c r="B71" s="7" t="s">
        <v>63</v>
      </c>
      <c r="C71" s="141"/>
      <c r="D71" s="141">
        <v>65.0</v>
      </c>
      <c r="E71" s="141">
        <v>69.9</v>
      </c>
      <c r="F71" s="136">
        <v>117000.0</v>
      </c>
      <c r="G71" s="122" t="s">
        <v>37</v>
      </c>
      <c r="H71" s="18" t="s">
        <v>274</v>
      </c>
      <c r="I71" s="137">
        <v>40087.0</v>
      </c>
      <c r="J71" s="11"/>
      <c r="K71" s="7" t="s">
        <v>287</v>
      </c>
      <c r="L71" s="11"/>
      <c r="M71" s="11"/>
      <c r="N71" s="11"/>
      <c r="O71" s="11"/>
      <c r="P71" s="11"/>
      <c r="Q71" s="11"/>
      <c r="R71" s="11"/>
      <c r="S71" s="11"/>
      <c r="T71" s="11"/>
      <c r="U71" s="11"/>
      <c r="V71" s="11"/>
      <c r="W71" s="11"/>
      <c r="X71" s="11"/>
      <c r="Y71" s="11"/>
      <c r="Z71" s="11"/>
      <c r="AA71" s="11"/>
      <c r="AB71" s="11"/>
      <c r="AC71" s="11"/>
      <c r="AD71" s="11"/>
    </row>
    <row r="72">
      <c r="A72" s="37" t="s">
        <v>62</v>
      </c>
      <c r="B72" s="7" t="s">
        <v>63</v>
      </c>
      <c r="C72" s="141"/>
      <c r="D72" s="141">
        <v>70.0</v>
      </c>
      <c r="E72" s="141">
        <v>74.9</v>
      </c>
      <c r="F72" s="136">
        <v>126000.0</v>
      </c>
      <c r="G72" s="122" t="s">
        <v>37</v>
      </c>
      <c r="H72" s="18" t="s">
        <v>274</v>
      </c>
      <c r="I72" s="137">
        <v>40087.0</v>
      </c>
      <c r="J72" s="11"/>
      <c r="K72" s="7" t="s">
        <v>287</v>
      </c>
      <c r="L72" s="11"/>
      <c r="M72" s="11"/>
      <c r="N72" s="11"/>
      <c r="O72" s="11"/>
      <c r="P72" s="11"/>
      <c r="Q72" s="11"/>
      <c r="R72" s="11"/>
      <c r="S72" s="11"/>
      <c r="T72" s="11"/>
      <c r="U72" s="11"/>
      <c r="V72" s="11"/>
      <c r="W72" s="11"/>
      <c r="X72" s="11"/>
      <c r="Y72" s="11"/>
      <c r="Z72" s="11"/>
      <c r="AA72" s="11"/>
      <c r="AB72" s="11"/>
      <c r="AC72" s="11"/>
      <c r="AD72" s="11"/>
    </row>
    <row r="73">
      <c r="A73" s="37" t="s">
        <v>62</v>
      </c>
      <c r="B73" s="7" t="s">
        <v>63</v>
      </c>
      <c r="C73" s="141"/>
      <c r="D73" s="141">
        <v>75.0</v>
      </c>
      <c r="E73" s="141">
        <v>79.9</v>
      </c>
      <c r="F73" s="136">
        <v>135000.0</v>
      </c>
      <c r="G73" s="122" t="s">
        <v>37</v>
      </c>
      <c r="H73" s="18" t="s">
        <v>274</v>
      </c>
      <c r="I73" s="137">
        <v>40087.0</v>
      </c>
      <c r="J73" s="11"/>
      <c r="K73" s="7" t="s">
        <v>287</v>
      </c>
      <c r="L73" s="11"/>
      <c r="M73" s="11"/>
      <c r="N73" s="11"/>
      <c r="O73" s="11"/>
      <c r="P73" s="11"/>
      <c r="Q73" s="11"/>
      <c r="R73" s="11"/>
      <c r="S73" s="11"/>
      <c r="T73" s="11"/>
      <c r="U73" s="11"/>
      <c r="V73" s="11"/>
      <c r="W73" s="11"/>
      <c r="X73" s="11"/>
      <c r="Y73" s="11"/>
      <c r="Z73" s="11"/>
      <c r="AA73" s="11"/>
      <c r="AB73" s="11"/>
      <c r="AC73" s="11"/>
      <c r="AD73" s="11"/>
    </row>
    <row r="74">
      <c r="A74" s="37" t="s">
        <v>62</v>
      </c>
      <c r="B74" s="7" t="s">
        <v>63</v>
      </c>
      <c r="C74" s="141"/>
      <c r="D74" s="141">
        <v>80.0</v>
      </c>
      <c r="E74" s="141">
        <v>84.9</v>
      </c>
      <c r="F74" s="136">
        <v>144000.0</v>
      </c>
      <c r="G74" s="122" t="s">
        <v>37</v>
      </c>
      <c r="H74" s="18" t="s">
        <v>274</v>
      </c>
      <c r="I74" s="137">
        <v>40087.0</v>
      </c>
      <c r="J74" s="11"/>
      <c r="K74" s="7" t="s">
        <v>287</v>
      </c>
      <c r="L74" s="11"/>
      <c r="M74" s="11"/>
      <c r="N74" s="11"/>
      <c r="O74" s="11"/>
      <c r="P74" s="11"/>
      <c r="Q74" s="11"/>
      <c r="R74" s="11"/>
      <c r="S74" s="11"/>
      <c r="T74" s="11"/>
      <c r="U74" s="11"/>
      <c r="V74" s="11"/>
      <c r="W74" s="11"/>
      <c r="X74" s="11"/>
      <c r="Y74" s="11"/>
      <c r="Z74" s="11"/>
      <c r="AA74" s="11"/>
      <c r="AB74" s="11"/>
      <c r="AC74" s="11"/>
      <c r="AD74" s="11"/>
    </row>
    <row r="75">
      <c r="A75" s="37" t="s">
        <v>62</v>
      </c>
      <c r="B75" s="7" t="s">
        <v>63</v>
      </c>
      <c r="C75" s="141"/>
      <c r="D75" s="141">
        <v>85.0</v>
      </c>
      <c r="E75" s="141">
        <v>89.9</v>
      </c>
      <c r="F75" s="136">
        <v>153000.0</v>
      </c>
      <c r="G75" s="122" t="s">
        <v>37</v>
      </c>
      <c r="H75" s="18" t="s">
        <v>274</v>
      </c>
      <c r="I75" s="137">
        <v>40087.0</v>
      </c>
      <c r="J75" s="11"/>
      <c r="K75" s="7" t="s">
        <v>287</v>
      </c>
      <c r="L75" s="11"/>
      <c r="M75" s="11"/>
      <c r="N75" s="11"/>
      <c r="O75" s="11"/>
      <c r="P75" s="11"/>
      <c r="Q75" s="11"/>
      <c r="R75" s="11"/>
      <c r="S75" s="11"/>
      <c r="T75" s="11"/>
      <c r="U75" s="11"/>
      <c r="V75" s="11"/>
      <c r="W75" s="11"/>
      <c r="X75" s="11"/>
      <c r="Y75" s="11"/>
      <c r="Z75" s="11"/>
      <c r="AA75" s="11"/>
      <c r="AB75" s="11"/>
      <c r="AC75" s="11"/>
      <c r="AD75" s="11"/>
    </row>
    <row r="76">
      <c r="A76" s="37" t="s">
        <v>62</v>
      </c>
      <c r="B76" s="7" t="s">
        <v>63</v>
      </c>
      <c r="C76" s="141"/>
      <c r="D76" s="141">
        <v>90.0</v>
      </c>
      <c r="E76" s="141">
        <v>94.9</v>
      </c>
      <c r="F76" s="136">
        <v>162000.0</v>
      </c>
      <c r="G76" s="122" t="s">
        <v>37</v>
      </c>
      <c r="H76" s="18" t="s">
        <v>274</v>
      </c>
      <c r="I76" s="137">
        <v>40087.0</v>
      </c>
      <c r="J76" s="11"/>
      <c r="K76" s="7" t="s">
        <v>287</v>
      </c>
      <c r="L76" s="11"/>
      <c r="M76" s="11"/>
      <c r="N76" s="11"/>
      <c r="O76" s="11"/>
      <c r="P76" s="11"/>
      <c r="Q76" s="11"/>
      <c r="R76" s="11"/>
      <c r="S76" s="11"/>
      <c r="T76" s="11"/>
      <c r="U76" s="11"/>
      <c r="V76" s="11"/>
      <c r="W76" s="11"/>
      <c r="X76" s="11"/>
      <c r="Y76" s="11"/>
      <c r="Z76" s="11"/>
      <c r="AA76" s="11"/>
      <c r="AB76" s="11"/>
      <c r="AC76" s="11"/>
      <c r="AD76" s="11"/>
    </row>
    <row r="77">
      <c r="A77" s="37" t="s">
        <v>62</v>
      </c>
      <c r="B77" s="7" t="s">
        <v>63</v>
      </c>
      <c r="C77" s="135"/>
      <c r="D77" s="135">
        <v>95.0</v>
      </c>
      <c r="E77" s="135">
        <v>99.9</v>
      </c>
      <c r="F77" s="136">
        <v>171000.0</v>
      </c>
      <c r="G77" s="122" t="s">
        <v>37</v>
      </c>
      <c r="H77" s="18" t="s">
        <v>274</v>
      </c>
      <c r="I77" s="137">
        <v>40087.0</v>
      </c>
      <c r="J77" s="11"/>
      <c r="K77" s="7" t="s">
        <v>287</v>
      </c>
      <c r="L77" s="11"/>
      <c r="M77" s="11"/>
      <c r="N77" s="11"/>
      <c r="O77" s="11"/>
      <c r="P77" s="11"/>
      <c r="Q77" s="11"/>
      <c r="R77" s="11"/>
      <c r="S77" s="11"/>
      <c r="T77" s="11"/>
      <c r="U77" s="11"/>
      <c r="V77" s="11"/>
      <c r="W77" s="11"/>
      <c r="X77" s="11"/>
      <c r="Y77" s="11"/>
      <c r="Z77" s="11"/>
      <c r="AA77" s="11"/>
      <c r="AB77" s="11"/>
      <c r="AC77" s="11"/>
      <c r="AD77" s="11"/>
    </row>
    <row r="78">
      <c r="A78" s="37" t="s">
        <v>62</v>
      </c>
      <c r="B78" s="7" t="s">
        <v>63</v>
      </c>
      <c r="C78" s="117" t="s">
        <v>278</v>
      </c>
      <c r="D78" s="135">
        <v>100.0</v>
      </c>
      <c r="E78" s="135">
        <v>100.0</v>
      </c>
      <c r="F78" s="136">
        <v>180000.0</v>
      </c>
      <c r="G78" s="122" t="s">
        <v>37</v>
      </c>
      <c r="H78" s="18" t="s">
        <v>274</v>
      </c>
      <c r="I78" s="137">
        <v>40087.0</v>
      </c>
      <c r="J78" s="11"/>
      <c r="K78" s="7" t="s">
        <v>287</v>
      </c>
      <c r="L78" s="11"/>
      <c r="M78" s="11"/>
      <c r="N78" s="11"/>
      <c r="O78" s="11"/>
      <c r="P78" s="11"/>
      <c r="Q78" s="11"/>
      <c r="R78" s="11"/>
      <c r="S78" s="11"/>
      <c r="T78" s="11"/>
      <c r="U78" s="11"/>
      <c r="V78" s="11"/>
      <c r="W78" s="11"/>
      <c r="X78" s="11"/>
      <c r="Y78" s="11"/>
      <c r="Z78" s="11"/>
      <c r="AA78" s="11"/>
      <c r="AB78" s="11"/>
      <c r="AC78" s="11"/>
      <c r="AD78" s="11"/>
    </row>
    <row r="79">
      <c r="A79" s="124"/>
      <c r="B79" s="46"/>
      <c r="C79" s="125"/>
      <c r="D79" s="125"/>
      <c r="E79" s="126"/>
      <c r="F79" s="127"/>
      <c r="G79" s="126"/>
      <c r="H79" s="46"/>
      <c r="I79" s="128"/>
      <c r="J79" s="46"/>
      <c r="K79" s="46"/>
      <c r="L79" s="46"/>
      <c r="M79" s="46"/>
      <c r="N79" s="46"/>
      <c r="O79" s="46"/>
      <c r="P79" s="46"/>
      <c r="Q79" s="46"/>
      <c r="R79" s="46"/>
      <c r="S79" s="46"/>
      <c r="T79" s="46"/>
      <c r="U79" s="46"/>
      <c r="V79" s="46"/>
      <c r="W79" s="46"/>
      <c r="X79" s="46"/>
      <c r="Y79" s="46"/>
      <c r="Z79" s="46"/>
      <c r="AA79" s="46"/>
      <c r="AB79" s="46"/>
      <c r="AC79" s="46"/>
      <c r="AD79" s="46"/>
      <c r="AE79" s="46"/>
    </row>
    <row r="80">
      <c r="A80" s="37" t="s">
        <v>67</v>
      </c>
      <c r="B80" s="7" t="s">
        <v>68</v>
      </c>
      <c r="C80" s="117" t="s">
        <v>273</v>
      </c>
      <c r="D80" s="141">
        <v>0.0</v>
      </c>
      <c r="E80" s="141">
        <v>9.9</v>
      </c>
      <c r="F80" s="136">
        <v>15000.0</v>
      </c>
      <c r="G80" s="122" t="s">
        <v>37</v>
      </c>
      <c r="H80" s="18" t="s">
        <v>274</v>
      </c>
      <c r="I80" s="143" t="s">
        <v>237</v>
      </c>
      <c r="J80" s="11"/>
      <c r="K80" s="7" t="s">
        <v>287</v>
      </c>
      <c r="L80" s="11"/>
      <c r="M80" s="11"/>
      <c r="N80" s="11"/>
      <c r="O80" s="11"/>
      <c r="P80" s="11"/>
      <c r="Q80" s="11"/>
      <c r="R80" s="11"/>
      <c r="S80" s="11"/>
      <c r="T80" s="11"/>
      <c r="U80" s="11"/>
      <c r="V80" s="11"/>
      <c r="W80" s="11"/>
      <c r="X80" s="11"/>
      <c r="Y80" s="11"/>
      <c r="Z80" s="11"/>
      <c r="AA80" s="11"/>
      <c r="AB80" s="11"/>
      <c r="AC80" s="11"/>
      <c r="AD80" s="11"/>
    </row>
    <row r="81">
      <c r="A81" s="37" t="s">
        <v>67</v>
      </c>
      <c r="B81" s="7" t="s">
        <v>68</v>
      </c>
      <c r="C81" s="141"/>
      <c r="D81" s="141">
        <v>10.0</v>
      </c>
      <c r="E81" s="144"/>
      <c r="F81" s="136">
        <v>1500.0</v>
      </c>
      <c r="G81" s="122" t="s">
        <v>37</v>
      </c>
      <c r="H81" s="18" t="s">
        <v>274</v>
      </c>
      <c r="I81" s="143" t="s">
        <v>237</v>
      </c>
      <c r="J81" s="11"/>
      <c r="K81" s="7" t="s">
        <v>287</v>
      </c>
      <c r="L81" s="11"/>
      <c r="M81" s="11"/>
      <c r="N81" s="11"/>
      <c r="O81" s="11"/>
      <c r="P81" s="11"/>
      <c r="Q81" s="11"/>
      <c r="R81" s="11"/>
      <c r="S81" s="11"/>
      <c r="T81" s="11"/>
      <c r="U81" s="11"/>
      <c r="V81" s="11"/>
      <c r="W81" s="11"/>
      <c r="X81" s="11"/>
      <c r="Y81" s="11"/>
      <c r="Z81" s="11"/>
      <c r="AA81" s="11"/>
      <c r="AB81" s="11"/>
      <c r="AC81" s="11"/>
      <c r="AD81" s="11"/>
    </row>
    <row r="82">
      <c r="A82" s="37" t="s">
        <v>67</v>
      </c>
      <c r="B82" s="7" t="s">
        <v>68</v>
      </c>
      <c r="C82" s="141"/>
      <c r="D82" s="141">
        <v>15.0</v>
      </c>
      <c r="E82" s="144"/>
      <c r="F82" s="136">
        <v>23000.0</v>
      </c>
      <c r="G82" s="122" t="s">
        <v>37</v>
      </c>
      <c r="H82" s="18" t="s">
        <v>274</v>
      </c>
      <c r="I82" s="143" t="s">
        <v>237</v>
      </c>
      <c r="J82" s="11"/>
      <c r="K82" s="7" t="s">
        <v>287</v>
      </c>
      <c r="L82" s="11"/>
      <c r="M82" s="11"/>
      <c r="N82" s="11"/>
      <c r="O82" s="11"/>
      <c r="P82" s="11"/>
      <c r="Q82" s="11"/>
      <c r="R82" s="11"/>
      <c r="S82" s="11"/>
      <c r="T82" s="11"/>
      <c r="U82" s="11"/>
      <c r="V82" s="11"/>
      <c r="W82" s="11"/>
      <c r="X82" s="11"/>
      <c r="Y82" s="11"/>
      <c r="Z82" s="11"/>
      <c r="AA82" s="11"/>
      <c r="AB82" s="11"/>
      <c r="AC82" s="11"/>
      <c r="AD82" s="11"/>
    </row>
    <row r="83">
      <c r="A83" s="37" t="s">
        <v>67</v>
      </c>
      <c r="B83" s="7" t="s">
        <v>68</v>
      </c>
      <c r="C83" s="141"/>
      <c r="D83" s="141">
        <v>20.0</v>
      </c>
      <c r="E83" s="144"/>
      <c r="F83" s="136">
        <v>30000.0</v>
      </c>
      <c r="G83" s="122" t="s">
        <v>37</v>
      </c>
      <c r="H83" s="18" t="s">
        <v>274</v>
      </c>
      <c r="I83" s="143" t="s">
        <v>237</v>
      </c>
      <c r="J83" s="11"/>
      <c r="K83" s="7" t="s">
        <v>287</v>
      </c>
      <c r="L83" s="11"/>
      <c r="M83" s="11"/>
      <c r="N83" s="11"/>
      <c r="O83" s="11"/>
      <c r="P83" s="11"/>
      <c r="Q83" s="11"/>
      <c r="R83" s="11"/>
      <c r="S83" s="11"/>
      <c r="T83" s="11"/>
      <c r="U83" s="11"/>
      <c r="V83" s="11"/>
      <c r="W83" s="11"/>
      <c r="X83" s="11"/>
      <c r="Y83" s="11"/>
      <c r="Z83" s="11"/>
      <c r="AA83" s="11"/>
      <c r="AB83" s="11"/>
      <c r="AC83" s="11"/>
      <c r="AD83" s="11"/>
    </row>
    <row r="84">
      <c r="A84" s="37" t="s">
        <v>67</v>
      </c>
      <c r="B84" s="7" t="s">
        <v>68</v>
      </c>
      <c r="C84" s="141"/>
      <c r="D84" s="141">
        <v>25.0</v>
      </c>
      <c r="E84" s="144"/>
      <c r="F84" s="136">
        <v>38000.0</v>
      </c>
      <c r="G84" s="122" t="s">
        <v>37</v>
      </c>
      <c r="H84" s="18" t="s">
        <v>274</v>
      </c>
      <c r="I84" s="143" t="s">
        <v>237</v>
      </c>
      <c r="J84" s="11"/>
      <c r="K84" s="7" t="s">
        <v>287</v>
      </c>
      <c r="L84" s="11"/>
      <c r="M84" s="11"/>
      <c r="N84" s="11"/>
      <c r="O84" s="11"/>
      <c r="P84" s="11"/>
      <c r="Q84" s="11"/>
      <c r="R84" s="11"/>
      <c r="S84" s="11"/>
      <c r="T84" s="11"/>
      <c r="U84" s="11"/>
      <c r="V84" s="11"/>
      <c r="W84" s="11"/>
      <c r="X84" s="11"/>
      <c r="Y84" s="11"/>
      <c r="Z84" s="11"/>
      <c r="AA84" s="11"/>
      <c r="AB84" s="11"/>
      <c r="AC84" s="11"/>
      <c r="AD84" s="11"/>
    </row>
    <row r="85">
      <c r="A85" s="37" t="s">
        <v>67</v>
      </c>
      <c r="B85" s="7" t="s">
        <v>68</v>
      </c>
      <c r="C85" s="142"/>
      <c r="D85" s="142">
        <v>30.0</v>
      </c>
      <c r="E85" s="144"/>
      <c r="F85" s="136">
        <v>45000.0</v>
      </c>
      <c r="G85" s="122" t="s">
        <v>37</v>
      </c>
      <c r="H85" s="18" t="s">
        <v>274</v>
      </c>
      <c r="I85" s="143" t="s">
        <v>237</v>
      </c>
      <c r="J85" s="11"/>
      <c r="K85" s="7" t="s">
        <v>287</v>
      </c>
      <c r="L85" s="11"/>
      <c r="M85" s="11"/>
      <c r="N85" s="11"/>
      <c r="O85" s="11"/>
      <c r="P85" s="11"/>
      <c r="Q85" s="11"/>
      <c r="R85" s="11"/>
      <c r="S85" s="11"/>
      <c r="T85" s="11"/>
      <c r="U85" s="11"/>
      <c r="V85" s="11"/>
      <c r="W85" s="11"/>
      <c r="X85" s="11"/>
      <c r="Y85" s="11"/>
      <c r="Z85" s="11"/>
      <c r="AA85" s="11"/>
      <c r="AB85" s="11"/>
      <c r="AC85" s="11"/>
      <c r="AD85" s="11"/>
    </row>
    <row r="86">
      <c r="A86" s="37" t="s">
        <v>67</v>
      </c>
      <c r="B86" s="7" t="s">
        <v>68</v>
      </c>
      <c r="C86" s="141"/>
      <c r="D86" s="141">
        <v>35.0</v>
      </c>
      <c r="E86" s="144"/>
      <c r="F86" s="136">
        <v>55000.0</v>
      </c>
      <c r="G86" s="122" t="s">
        <v>37</v>
      </c>
      <c r="H86" s="18" t="s">
        <v>274</v>
      </c>
      <c r="I86" s="143" t="s">
        <v>237</v>
      </c>
      <c r="J86" s="11"/>
      <c r="K86" s="7" t="s">
        <v>287</v>
      </c>
      <c r="L86" s="11"/>
      <c r="M86" s="11"/>
      <c r="N86" s="11"/>
      <c r="O86" s="11"/>
      <c r="P86" s="11"/>
      <c r="Q86" s="11"/>
      <c r="R86" s="11"/>
      <c r="S86" s="11"/>
      <c r="T86" s="11"/>
      <c r="U86" s="11"/>
      <c r="V86" s="11"/>
      <c r="W86" s="11"/>
      <c r="X86" s="11"/>
      <c r="Y86" s="11"/>
      <c r="Z86" s="11"/>
      <c r="AA86" s="11"/>
      <c r="AB86" s="11"/>
      <c r="AC86" s="11"/>
      <c r="AD86" s="11"/>
    </row>
    <row r="87">
      <c r="A87" s="37" t="s">
        <v>67</v>
      </c>
      <c r="B87" s="7" t="s">
        <v>68</v>
      </c>
      <c r="C87" s="142"/>
      <c r="D87" s="142">
        <v>40.0</v>
      </c>
      <c r="E87" s="144"/>
      <c r="F87" s="136">
        <v>65000.0</v>
      </c>
      <c r="G87" s="122" t="s">
        <v>37</v>
      </c>
      <c r="H87" s="18" t="s">
        <v>274</v>
      </c>
      <c r="I87" s="143" t="s">
        <v>237</v>
      </c>
      <c r="J87" s="11"/>
      <c r="K87" s="7" t="s">
        <v>287</v>
      </c>
      <c r="L87" s="11"/>
      <c r="M87" s="11"/>
      <c r="N87" s="11"/>
      <c r="O87" s="11"/>
      <c r="P87" s="11"/>
      <c r="Q87" s="11"/>
      <c r="R87" s="11"/>
      <c r="S87" s="11"/>
      <c r="T87" s="11"/>
      <c r="U87" s="11"/>
      <c r="V87" s="11"/>
      <c r="W87" s="11"/>
      <c r="X87" s="11"/>
      <c r="Y87" s="11"/>
      <c r="Z87" s="11"/>
      <c r="AA87" s="11"/>
      <c r="AB87" s="11"/>
      <c r="AC87" s="11"/>
      <c r="AD87" s="11"/>
    </row>
    <row r="88">
      <c r="A88" s="37" t="s">
        <v>67</v>
      </c>
      <c r="B88" s="7" t="s">
        <v>68</v>
      </c>
      <c r="C88" s="141"/>
      <c r="D88" s="141">
        <v>45.0</v>
      </c>
      <c r="E88" s="144"/>
      <c r="F88" s="136">
        <v>75000.0</v>
      </c>
      <c r="G88" s="122" t="s">
        <v>37</v>
      </c>
      <c r="H88" s="18" t="s">
        <v>274</v>
      </c>
      <c r="I88" s="143" t="s">
        <v>237</v>
      </c>
      <c r="J88" s="11"/>
      <c r="K88" s="7" t="s">
        <v>287</v>
      </c>
      <c r="L88" s="11"/>
      <c r="M88" s="11"/>
      <c r="N88" s="11"/>
      <c r="O88" s="11"/>
      <c r="P88" s="11"/>
      <c r="Q88" s="11"/>
      <c r="R88" s="11"/>
      <c r="S88" s="11"/>
      <c r="T88" s="11"/>
      <c r="U88" s="11"/>
      <c r="V88" s="11"/>
      <c r="W88" s="11"/>
      <c r="X88" s="11"/>
      <c r="Y88" s="11"/>
      <c r="Z88" s="11"/>
      <c r="AA88" s="11"/>
      <c r="AB88" s="11"/>
      <c r="AC88" s="11"/>
      <c r="AD88" s="11"/>
    </row>
    <row r="89">
      <c r="A89" s="37" t="s">
        <v>67</v>
      </c>
      <c r="B89" s="7" t="s">
        <v>68</v>
      </c>
      <c r="C89" s="141"/>
      <c r="D89" s="141">
        <v>50.0</v>
      </c>
      <c r="E89" s="144"/>
      <c r="F89" s="136">
        <v>85000.0</v>
      </c>
      <c r="G89" s="122" t="s">
        <v>37</v>
      </c>
      <c r="H89" s="18" t="s">
        <v>274</v>
      </c>
      <c r="I89" s="143" t="s">
        <v>237</v>
      </c>
      <c r="J89" s="11"/>
      <c r="K89" s="7" t="s">
        <v>287</v>
      </c>
      <c r="L89" s="11"/>
      <c r="M89" s="11"/>
      <c r="N89" s="11"/>
      <c r="O89" s="11"/>
      <c r="P89" s="11"/>
      <c r="Q89" s="11"/>
      <c r="R89" s="11"/>
      <c r="S89" s="11"/>
      <c r="T89" s="11"/>
      <c r="U89" s="11"/>
      <c r="V89" s="11"/>
      <c r="W89" s="11"/>
      <c r="X89" s="11"/>
      <c r="Y89" s="11"/>
      <c r="Z89" s="11"/>
      <c r="AA89" s="11"/>
      <c r="AB89" s="11"/>
      <c r="AC89" s="11"/>
      <c r="AD89" s="11"/>
    </row>
    <row r="90">
      <c r="A90" s="37" t="s">
        <v>67</v>
      </c>
      <c r="B90" s="7" t="s">
        <v>68</v>
      </c>
      <c r="C90" s="141"/>
      <c r="D90" s="141">
        <v>55.0</v>
      </c>
      <c r="E90" s="144"/>
      <c r="F90" s="136">
        <v>95000.0</v>
      </c>
      <c r="G90" s="122" t="s">
        <v>37</v>
      </c>
      <c r="H90" s="18" t="s">
        <v>274</v>
      </c>
      <c r="I90" s="143" t="s">
        <v>237</v>
      </c>
      <c r="J90" s="11"/>
      <c r="K90" s="7" t="s">
        <v>287</v>
      </c>
      <c r="L90" s="11"/>
      <c r="M90" s="11"/>
      <c r="N90" s="11"/>
      <c r="O90" s="11"/>
      <c r="P90" s="11"/>
      <c r="Q90" s="11"/>
      <c r="R90" s="11"/>
      <c r="S90" s="11"/>
      <c r="T90" s="11"/>
      <c r="U90" s="11"/>
      <c r="V90" s="11"/>
      <c r="W90" s="11"/>
      <c r="X90" s="11"/>
      <c r="Y90" s="11"/>
      <c r="Z90" s="11"/>
      <c r="AA90" s="11"/>
      <c r="AB90" s="11"/>
      <c r="AC90" s="11"/>
      <c r="AD90" s="11"/>
    </row>
    <row r="91">
      <c r="A91" s="37" t="s">
        <v>67</v>
      </c>
      <c r="B91" s="7" t="s">
        <v>68</v>
      </c>
      <c r="C91" s="141"/>
      <c r="D91" s="141">
        <v>60.0</v>
      </c>
      <c r="E91" s="144"/>
      <c r="F91" s="136">
        <v>108000.0</v>
      </c>
      <c r="G91" s="122" t="s">
        <v>37</v>
      </c>
      <c r="H91" s="18" t="s">
        <v>274</v>
      </c>
      <c r="I91" s="143" t="s">
        <v>237</v>
      </c>
      <c r="J91" s="11"/>
      <c r="K91" s="7" t="s">
        <v>287</v>
      </c>
      <c r="L91" s="11"/>
      <c r="M91" s="11"/>
      <c r="N91" s="11"/>
      <c r="O91" s="11"/>
      <c r="P91" s="11"/>
      <c r="Q91" s="11"/>
      <c r="R91" s="11"/>
      <c r="S91" s="11"/>
      <c r="T91" s="11"/>
      <c r="U91" s="11"/>
      <c r="V91" s="11"/>
      <c r="W91" s="11"/>
      <c r="X91" s="11"/>
      <c r="Y91" s="11"/>
      <c r="Z91" s="11"/>
      <c r="AA91" s="11"/>
      <c r="AB91" s="11"/>
      <c r="AC91" s="11"/>
      <c r="AD91" s="11"/>
    </row>
    <row r="92">
      <c r="A92" s="37" t="s">
        <v>67</v>
      </c>
      <c r="B92" s="7" t="s">
        <v>68</v>
      </c>
      <c r="C92" s="141"/>
      <c r="D92" s="141">
        <v>65.0</v>
      </c>
      <c r="E92" s="144"/>
      <c r="F92" s="136">
        <v>120000.0</v>
      </c>
      <c r="G92" s="122" t="s">
        <v>37</v>
      </c>
      <c r="H92" s="18" t="s">
        <v>274</v>
      </c>
      <c r="I92" s="143" t="s">
        <v>237</v>
      </c>
      <c r="J92" s="11"/>
      <c r="K92" s="7" t="s">
        <v>287</v>
      </c>
      <c r="L92" s="11"/>
      <c r="M92" s="11"/>
      <c r="N92" s="11"/>
      <c r="O92" s="11"/>
      <c r="P92" s="11"/>
      <c r="Q92" s="11"/>
      <c r="R92" s="11"/>
      <c r="S92" s="11"/>
      <c r="T92" s="11"/>
      <c r="U92" s="11"/>
      <c r="V92" s="11"/>
      <c r="W92" s="11"/>
      <c r="X92" s="11"/>
      <c r="Y92" s="11"/>
      <c r="Z92" s="11"/>
      <c r="AA92" s="11"/>
      <c r="AB92" s="11"/>
      <c r="AC92" s="11"/>
      <c r="AD92" s="11"/>
    </row>
    <row r="93">
      <c r="A93" s="37" t="s">
        <v>67</v>
      </c>
      <c r="B93" s="7" t="s">
        <v>68</v>
      </c>
      <c r="C93" s="141"/>
      <c r="D93" s="141">
        <v>70.0</v>
      </c>
      <c r="E93" s="144"/>
      <c r="F93" s="136">
        <v>133000.0</v>
      </c>
      <c r="G93" s="122" t="s">
        <v>37</v>
      </c>
      <c r="H93" s="18" t="s">
        <v>274</v>
      </c>
      <c r="I93" s="143" t="s">
        <v>237</v>
      </c>
      <c r="J93" s="11"/>
      <c r="K93" s="7" t="s">
        <v>287</v>
      </c>
      <c r="L93" s="11"/>
      <c r="M93" s="11"/>
      <c r="N93" s="11"/>
      <c r="O93" s="11"/>
      <c r="P93" s="11"/>
      <c r="Q93" s="11"/>
      <c r="R93" s="11"/>
      <c r="S93" s="11"/>
      <c r="T93" s="11"/>
      <c r="U93" s="11"/>
      <c r="V93" s="11"/>
      <c r="W93" s="11"/>
      <c r="X93" s="11"/>
      <c r="Y93" s="11"/>
      <c r="Z93" s="11"/>
      <c r="AA93" s="11"/>
      <c r="AB93" s="11"/>
      <c r="AC93" s="11"/>
      <c r="AD93" s="11"/>
    </row>
    <row r="94">
      <c r="A94" s="37" t="s">
        <v>67</v>
      </c>
      <c r="B94" s="7" t="s">
        <v>68</v>
      </c>
      <c r="C94" s="141"/>
      <c r="D94" s="141">
        <v>75.0</v>
      </c>
      <c r="E94" s="144"/>
      <c r="F94" s="136">
        <v>145000.0</v>
      </c>
      <c r="G94" s="122" t="s">
        <v>37</v>
      </c>
      <c r="H94" s="18" t="s">
        <v>274</v>
      </c>
      <c r="I94" s="143" t="s">
        <v>237</v>
      </c>
      <c r="J94" s="11"/>
      <c r="K94" s="7" t="s">
        <v>287</v>
      </c>
      <c r="L94" s="11"/>
      <c r="M94" s="11"/>
      <c r="N94" s="11"/>
      <c r="O94" s="11"/>
      <c r="P94" s="11"/>
      <c r="Q94" s="11"/>
      <c r="R94" s="11"/>
      <c r="S94" s="11"/>
      <c r="T94" s="11"/>
      <c r="U94" s="11"/>
      <c r="V94" s="11"/>
      <c r="W94" s="11"/>
      <c r="X94" s="11"/>
      <c r="Y94" s="11"/>
      <c r="Z94" s="11"/>
      <c r="AA94" s="11"/>
      <c r="AB94" s="11"/>
      <c r="AC94" s="11"/>
      <c r="AD94" s="11"/>
    </row>
    <row r="95">
      <c r="A95" s="37" t="s">
        <v>67</v>
      </c>
      <c r="B95" s="7" t="s">
        <v>68</v>
      </c>
      <c r="C95" s="141"/>
      <c r="D95" s="141">
        <v>80.0</v>
      </c>
      <c r="E95" s="144"/>
      <c r="F95" s="136">
        <v>158000.0</v>
      </c>
      <c r="G95" s="122" t="s">
        <v>37</v>
      </c>
      <c r="H95" s="18" t="s">
        <v>274</v>
      </c>
      <c r="I95" s="143" t="s">
        <v>237</v>
      </c>
      <c r="J95" s="11"/>
      <c r="K95" s="7" t="s">
        <v>287</v>
      </c>
      <c r="L95" s="11"/>
      <c r="M95" s="11"/>
      <c r="N95" s="11"/>
      <c r="O95" s="11"/>
      <c r="P95" s="11"/>
      <c r="Q95" s="11"/>
      <c r="R95" s="11"/>
      <c r="S95" s="11"/>
      <c r="T95" s="11"/>
      <c r="U95" s="11"/>
      <c r="V95" s="11"/>
      <c r="W95" s="11"/>
      <c r="X95" s="11"/>
      <c r="Y95" s="11"/>
      <c r="Z95" s="11"/>
      <c r="AA95" s="11"/>
      <c r="AB95" s="11"/>
      <c r="AC95" s="11"/>
      <c r="AD95" s="11"/>
    </row>
    <row r="96">
      <c r="A96" s="37" t="s">
        <v>67</v>
      </c>
      <c r="B96" s="7" t="s">
        <v>68</v>
      </c>
      <c r="C96" s="135"/>
      <c r="D96" s="135">
        <v>85.0</v>
      </c>
      <c r="E96" s="145"/>
      <c r="F96" s="136">
        <v>170000.0</v>
      </c>
      <c r="G96" s="122" t="s">
        <v>37</v>
      </c>
      <c r="H96" s="18" t="s">
        <v>274</v>
      </c>
      <c r="I96" s="143" t="s">
        <v>237</v>
      </c>
      <c r="J96" s="11"/>
      <c r="K96" s="7" t="s">
        <v>287</v>
      </c>
      <c r="L96" s="11"/>
      <c r="M96" s="11"/>
      <c r="N96" s="11"/>
      <c r="O96" s="11"/>
      <c r="P96" s="11"/>
      <c r="Q96" s="11"/>
      <c r="R96" s="11"/>
      <c r="S96" s="11"/>
      <c r="T96" s="11"/>
      <c r="U96" s="11"/>
      <c r="V96" s="11"/>
      <c r="W96" s="11"/>
      <c r="X96" s="11"/>
      <c r="Y96" s="11"/>
      <c r="Z96" s="11"/>
      <c r="AA96" s="11"/>
      <c r="AB96" s="11"/>
      <c r="AC96" s="11"/>
      <c r="AD96" s="11"/>
    </row>
    <row r="97">
      <c r="A97" s="37" t="s">
        <v>67</v>
      </c>
      <c r="B97" s="7" t="s">
        <v>68</v>
      </c>
      <c r="C97" s="135"/>
      <c r="D97" s="135">
        <v>90.0</v>
      </c>
      <c r="E97" s="145"/>
      <c r="F97" s="136">
        <v>183000.0</v>
      </c>
      <c r="G97" s="122" t="s">
        <v>37</v>
      </c>
      <c r="H97" s="18" t="s">
        <v>274</v>
      </c>
      <c r="I97" s="143" t="s">
        <v>237</v>
      </c>
      <c r="J97" s="11"/>
      <c r="K97" s="7" t="s">
        <v>287</v>
      </c>
      <c r="L97" s="11"/>
      <c r="M97" s="11"/>
      <c r="N97" s="11"/>
      <c r="O97" s="11"/>
      <c r="P97" s="11"/>
      <c r="Q97" s="11"/>
      <c r="R97" s="11"/>
      <c r="S97" s="11"/>
      <c r="T97" s="11"/>
      <c r="U97" s="11"/>
      <c r="V97" s="11"/>
      <c r="W97" s="11"/>
      <c r="X97" s="11"/>
      <c r="Y97" s="11"/>
      <c r="Z97" s="11"/>
      <c r="AA97" s="11"/>
      <c r="AB97" s="11"/>
      <c r="AC97" s="11"/>
      <c r="AD97" s="11"/>
    </row>
    <row r="98">
      <c r="A98" s="37" t="s">
        <v>67</v>
      </c>
      <c r="B98" s="7" t="s">
        <v>68</v>
      </c>
      <c r="C98" s="135"/>
      <c r="D98" s="135">
        <v>95.0</v>
      </c>
      <c r="E98" s="145"/>
      <c r="F98" s="136">
        <v>195000.0</v>
      </c>
      <c r="G98" s="122" t="s">
        <v>37</v>
      </c>
      <c r="H98" s="18" t="s">
        <v>274</v>
      </c>
      <c r="I98" s="143" t="s">
        <v>237</v>
      </c>
      <c r="J98" s="11"/>
      <c r="K98" s="7" t="s">
        <v>287</v>
      </c>
      <c r="L98" s="11"/>
      <c r="M98" s="11"/>
      <c r="N98" s="11"/>
      <c r="O98" s="11"/>
      <c r="P98" s="11"/>
      <c r="Q98" s="11"/>
      <c r="R98" s="11"/>
      <c r="S98" s="11"/>
      <c r="T98" s="11"/>
      <c r="U98" s="11"/>
      <c r="V98" s="11"/>
      <c r="W98" s="11"/>
      <c r="X98" s="11"/>
      <c r="Y98" s="11"/>
      <c r="Z98" s="11"/>
      <c r="AA98" s="11"/>
      <c r="AB98" s="11"/>
      <c r="AC98" s="11"/>
      <c r="AD98" s="11"/>
    </row>
    <row r="99">
      <c r="A99" s="37" t="s">
        <v>67</v>
      </c>
      <c r="B99" s="7" t="s">
        <v>68</v>
      </c>
      <c r="C99" s="117" t="s">
        <v>278</v>
      </c>
      <c r="D99" s="135">
        <v>100.0</v>
      </c>
      <c r="E99" s="135">
        <v>100.0</v>
      </c>
      <c r="F99" s="136">
        <v>208000.0</v>
      </c>
      <c r="G99" s="122" t="s">
        <v>37</v>
      </c>
      <c r="H99" s="18" t="s">
        <v>274</v>
      </c>
      <c r="I99" s="143" t="s">
        <v>237</v>
      </c>
      <c r="J99" s="11"/>
      <c r="K99" s="7" t="s">
        <v>287</v>
      </c>
      <c r="L99" s="11"/>
      <c r="M99" s="11"/>
      <c r="N99" s="11"/>
      <c r="O99" s="11"/>
      <c r="P99" s="11"/>
      <c r="Q99" s="11"/>
      <c r="R99" s="11"/>
      <c r="S99" s="11"/>
      <c r="T99" s="11"/>
      <c r="U99" s="11"/>
      <c r="V99" s="11"/>
      <c r="W99" s="11"/>
      <c r="X99" s="11"/>
      <c r="Y99" s="11"/>
      <c r="Z99" s="11"/>
      <c r="AA99" s="11"/>
      <c r="AB99" s="11"/>
      <c r="AC99" s="11"/>
      <c r="AD99" s="11"/>
    </row>
    <row r="100">
      <c r="A100" s="124"/>
      <c r="B100" s="46"/>
      <c r="C100" s="125"/>
      <c r="D100" s="125"/>
      <c r="E100" s="126"/>
      <c r="F100" s="127"/>
      <c r="G100" s="126"/>
      <c r="H100" s="46"/>
      <c r="I100" s="128"/>
      <c r="J100" s="46"/>
      <c r="K100" s="46"/>
      <c r="L100" s="46"/>
      <c r="M100" s="46"/>
      <c r="N100" s="46"/>
      <c r="O100" s="46"/>
      <c r="P100" s="46"/>
      <c r="Q100" s="46"/>
      <c r="R100" s="46"/>
      <c r="S100" s="46"/>
      <c r="T100" s="46"/>
      <c r="U100" s="46"/>
      <c r="V100" s="46"/>
      <c r="W100" s="46"/>
      <c r="X100" s="46"/>
      <c r="Y100" s="46"/>
      <c r="Z100" s="46"/>
      <c r="AA100" s="46"/>
      <c r="AB100" s="46"/>
      <c r="AC100" s="46"/>
      <c r="AD100" s="46"/>
      <c r="AE100" s="46"/>
    </row>
    <row r="101">
      <c r="A101" s="37" t="s">
        <v>71</v>
      </c>
      <c r="B101" s="7" t="s">
        <v>208</v>
      </c>
      <c r="C101" s="117"/>
      <c r="D101" s="131">
        <v>14.0</v>
      </c>
      <c r="E101" s="146"/>
      <c r="F101" s="132">
        <v>670.0</v>
      </c>
      <c r="G101" s="122" t="s">
        <v>37</v>
      </c>
      <c r="H101" s="18" t="s">
        <v>274</v>
      </c>
      <c r="I101" s="121">
        <v>40878.0</v>
      </c>
      <c r="J101" s="29" t="s">
        <v>239</v>
      </c>
      <c r="K101" s="146" t="s">
        <v>288</v>
      </c>
      <c r="L101" s="29" t="s">
        <v>277</v>
      </c>
      <c r="M101" s="11"/>
      <c r="N101" s="11"/>
      <c r="O101" s="11"/>
      <c r="P101" s="11"/>
      <c r="Q101" s="11"/>
      <c r="R101" s="11"/>
      <c r="S101" s="11"/>
      <c r="T101" s="11"/>
      <c r="U101" s="11"/>
      <c r="V101" s="11"/>
      <c r="W101" s="11"/>
      <c r="X101" s="11"/>
      <c r="Y101" s="11"/>
      <c r="Z101" s="11"/>
      <c r="AA101" s="11"/>
      <c r="AB101" s="11"/>
      <c r="AC101" s="11"/>
      <c r="AD101" s="11"/>
    </row>
    <row r="102">
      <c r="A102" s="37" t="s">
        <v>71</v>
      </c>
      <c r="B102" s="7" t="s">
        <v>208</v>
      </c>
      <c r="C102" s="131"/>
      <c r="D102" s="131">
        <v>15.0</v>
      </c>
      <c r="E102" s="146"/>
      <c r="F102" s="132">
        <v>1340.0</v>
      </c>
      <c r="G102" s="122" t="s">
        <v>37</v>
      </c>
      <c r="H102" s="18" t="s">
        <v>274</v>
      </c>
      <c r="I102" s="121">
        <v>40878.0</v>
      </c>
      <c r="J102" s="29" t="s">
        <v>239</v>
      </c>
      <c r="K102" s="146" t="s">
        <v>288</v>
      </c>
      <c r="L102" s="29" t="s">
        <v>277</v>
      </c>
      <c r="M102" s="11"/>
      <c r="N102" s="11"/>
      <c r="O102" s="11"/>
      <c r="P102" s="11"/>
      <c r="Q102" s="11"/>
      <c r="R102" s="11"/>
      <c r="S102" s="11"/>
      <c r="T102" s="11"/>
      <c r="U102" s="11"/>
      <c r="V102" s="11"/>
      <c r="W102" s="11"/>
      <c r="X102" s="11"/>
      <c r="Y102" s="11"/>
      <c r="Z102" s="11"/>
      <c r="AA102" s="11"/>
      <c r="AB102" s="11"/>
      <c r="AC102" s="11"/>
      <c r="AD102" s="11"/>
    </row>
    <row r="103">
      <c r="A103" s="37" t="s">
        <v>71</v>
      </c>
      <c r="B103" s="7" t="s">
        <v>208</v>
      </c>
      <c r="C103" s="131"/>
      <c r="D103" s="131">
        <v>16.0</v>
      </c>
      <c r="E103" s="146"/>
      <c r="F103" s="132">
        <v>2010.0</v>
      </c>
      <c r="G103" s="122" t="s">
        <v>37</v>
      </c>
      <c r="H103" s="18" t="s">
        <v>274</v>
      </c>
      <c r="I103" s="121">
        <v>40878.0</v>
      </c>
      <c r="J103" s="29" t="s">
        <v>239</v>
      </c>
      <c r="K103" s="146" t="s">
        <v>288</v>
      </c>
      <c r="L103" s="29" t="s">
        <v>277</v>
      </c>
      <c r="M103" s="11"/>
      <c r="N103" s="11"/>
      <c r="O103" s="11"/>
      <c r="P103" s="11"/>
      <c r="Q103" s="11"/>
      <c r="R103" s="11"/>
      <c r="S103" s="11"/>
      <c r="T103" s="11"/>
      <c r="U103" s="11"/>
      <c r="V103" s="11"/>
      <c r="W103" s="11"/>
      <c r="X103" s="11"/>
      <c r="Y103" s="11"/>
      <c r="Z103" s="11"/>
      <c r="AA103" s="11"/>
      <c r="AB103" s="11"/>
      <c r="AC103" s="11"/>
      <c r="AD103" s="11"/>
    </row>
    <row r="104">
      <c r="A104" s="37" t="s">
        <v>71</v>
      </c>
      <c r="B104" s="7" t="s">
        <v>208</v>
      </c>
      <c r="C104" s="131"/>
      <c r="D104" s="131">
        <v>17.0</v>
      </c>
      <c r="E104" s="146"/>
      <c r="F104" s="132">
        <v>2680.0</v>
      </c>
      <c r="G104" s="122" t="s">
        <v>37</v>
      </c>
      <c r="H104" s="18" t="s">
        <v>274</v>
      </c>
      <c r="I104" s="121">
        <v>40878.0</v>
      </c>
      <c r="J104" s="29" t="s">
        <v>239</v>
      </c>
      <c r="K104" s="146" t="s">
        <v>288</v>
      </c>
      <c r="L104" s="29" t="s">
        <v>277</v>
      </c>
      <c r="M104" s="11"/>
      <c r="N104" s="11"/>
      <c r="O104" s="11"/>
      <c r="P104" s="11"/>
      <c r="Q104" s="11"/>
      <c r="R104" s="11"/>
      <c r="S104" s="11"/>
      <c r="T104" s="11"/>
      <c r="U104" s="11"/>
      <c r="V104" s="11"/>
      <c r="W104" s="11"/>
      <c r="X104" s="11"/>
      <c r="Y104" s="11"/>
      <c r="Z104" s="11"/>
      <c r="AA104" s="11"/>
      <c r="AB104" s="11"/>
      <c r="AC104" s="11"/>
      <c r="AD104" s="11"/>
    </row>
    <row r="105">
      <c r="A105" s="37" t="s">
        <v>71</v>
      </c>
      <c r="B105" s="7" t="s">
        <v>208</v>
      </c>
      <c r="C105" s="131"/>
      <c r="D105" s="131">
        <v>18.0</v>
      </c>
      <c r="E105" s="146"/>
      <c r="F105" s="132">
        <v>3350.0</v>
      </c>
      <c r="G105" s="122" t="s">
        <v>37</v>
      </c>
      <c r="H105" s="18" t="s">
        <v>274</v>
      </c>
      <c r="I105" s="121">
        <v>40878.0</v>
      </c>
      <c r="J105" s="29" t="s">
        <v>239</v>
      </c>
      <c r="K105" s="146" t="s">
        <v>288</v>
      </c>
      <c r="L105" s="29" t="s">
        <v>277</v>
      </c>
      <c r="M105" s="11"/>
      <c r="N105" s="11"/>
      <c r="O105" s="11"/>
      <c r="P105" s="11"/>
      <c r="Q105" s="11"/>
      <c r="R105" s="11"/>
      <c r="S105" s="11"/>
      <c r="T105" s="11"/>
      <c r="U105" s="11"/>
      <c r="V105" s="11"/>
      <c r="W105" s="11"/>
      <c r="X105" s="11"/>
      <c r="Y105" s="11"/>
      <c r="Z105" s="11"/>
      <c r="AA105" s="11"/>
      <c r="AB105" s="11"/>
      <c r="AC105" s="11"/>
      <c r="AD105" s="11"/>
    </row>
    <row r="106">
      <c r="A106" s="37" t="s">
        <v>71</v>
      </c>
      <c r="B106" s="7" t="s">
        <v>208</v>
      </c>
      <c r="C106" s="131"/>
      <c r="D106" s="131">
        <v>19.0</v>
      </c>
      <c r="E106" s="146"/>
      <c r="F106" s="132">
        <v>4020.0</v>
      </c>
      <c r="G106" s="122" t="s">
        <v>37</v>
      </c>
      <c r="H106" s="18" t="s">
        <v>274</v>
      </c>
      <c r="I106" s="121">
        <v>40878.0</v>
      </c>
      <c r="J106" s="29" t="s">
        <v>239</v>
      </c>
      <c r="K106" s="146" t="s">
        <v>288</v>
      </c>
      <c r="L106" s="29" t="s">
        <v>277</v>
      </c>
      <c r="M106" s="11"/>
      <c r="N106" s="11"/>
      <c r="O106" s="11"/>
      <c r="P106" s="11"/>
      <c r="Q106" s="11"/>
      <c r="R106" s="11"/>
      <c r="S106" s="11"/>
      <c r="T106" s="11"/>
      <c r="U106" s="11"/>
      <c r="V106" s="11"/>
      <c r="W106" s="11"/>
      <c r="X106" s="11"/>
      <c r="Y106" s="11"/>
      <c r="Z106" s="11"/>
      <c r="AA106" s="11"/>
      <c r="AB106" s="11"/>
      <c r="AC106" s="11"/>
      <c r="AD106" s="11"/>
    </row>
    <row r="107">
      <c r="A107" s="37" t="s">
        <v>71</v>
      </c>
      <c r="B107" s="7" t="s">
        <v>208</v>
      </c>
      <c r="C107" s="131"/>
      <c r="D107" s="131">
        <v>20.0</v>
      </c>
      <c r="E107" s="146"/>
      <c r="F107" s="132">
        <v>4690.0</v>
      </c>
      <c r="G107" s="122" t="s">
        <v>37</v>
      </c>
      <c r="H107" s="18" t="s">
        <v>274</v>
      </c>
      <c r="I107" s="121">
        <v>40878.0</v>
      </c>
      <c r="J107" s="29" t="s">
        <v>239</v>
      </c>
      <c r="K107" s="146" t="s">
        <v>288</v>
      </c>
      <c r="L107" s="29" t="s">
        <v>277</v>
      </c>
      <c r="M107" s="11"/>
      <c r="N107" s="11"/>
      <c r="O107" s="11"/>
      <c r="P107" s="11"/>
      <c r="Q107" s="11"/>
      <c r="R107" s="11"/>
      <c r="S107" s="11"/>
      <c r="T107" s="11"/>
      <c r="U107" s="11"/>
      <c r="V107" s="11"/>
      <c r="W107" s="11"/>
      <c r="X107" s="11"/>
      <c r="Y107" s="11"/>
      <c r="Z107" s="11"/>
      <c r="AA107" s="11"/>
      <c r="AB107" s="11"/>
      <c r="AC107" s="11"/>
      <c r="AD107" s="11"/>
    </row>
    <row r="108">
      <c r="A108" s="37" t="s">
        <v>71</v>
      </c>
      <c r="B108" s="7" t="s">
        <v>208</v>
      </c>
      <c r="C108" s="131"/>
      <c r="D108" s="131">
        <v>21.0</v>
      </c>
      <c r="E108" s="146"/>
      <c r="F108" s="132">
        <v>5360.0</v>
      </c>
      <c r="G108" s="122" t="s">
        <v>37</v>
      </c>
      <c r="H108" s="18" t="s">
        <v>274</v>
      </c>
      <c r="I108" s="121">
        <v>40878.0</v>
      </c>
      <c r="J108" s="29" t="s">
        <v>239</v>
      </c>
      <c r="K108" s="146" t="s">
        <v>288</v>
      </c>
      <c r="L108" s="29" t="s">
        <v>277</v>
      </c>
      <c r="M108" s="11"/>
      <c r="N108" s="11"/>
      <c r="O108" s="11"/>
      <c r="P108" s="11"/>
      <c r="Q108" s="11"/>
      <c r="R108" s="11"/>
      <c r="S108" s="11"/>
      <c r="T108" s="11"/>
      <c r="U108" s="11"/>
      <c r="V108" s="11"/>
      <c r="W108" s="11"/>
      <c r="X108" s="11"/>
      <c r="Y108" s="11"/>
      <c r="Z108" s="11"/>
      <c r="AA108" s="11"/>
      <c r="AB108" s="11"/>
      <c r="AC108" s="11"/>
      <c r="AD108" s="11"/>
    </row>
    <row r="109">
      <c r="A109" s="37" t="s">
        <v>71</v>
      </c>
      <c r="B109" s="7" t="s">
        <v>208</v>
      </c>
      <c r="C109" s="131"/>
      <c r="D109" s="131">
        <v>22.0</v>
      </c>
      <c r="E109" s="146"/>
      <c r="F109" s="132">
        <v>6030.0</v>
      </c>
      <c r="G109" s="122" t="s">
        <v>37</v>
      </c>
      <c r="H109" s="18" t="s">
        <v>274</v>
      </c>
      <c r="I109" s="121">
        <v>40878.0</v>
      </c>
      <c r="J109" s="29" t="s">
        <v>239</v>
      </c>
      <c r="K109" s="146" t="s">
        <v>288</v>
      </c>
      <c r="L109" s="29" t="s">
        <v>277</v>
      </c>
      <c r="M109" s="11"/>
      <c r="N109" s="11"/>
      <c r="O109" s="11"/>
      <c r="P109" s="11"/>
      <c r="Q109" s="11"/>
      <c r="R109" s="11"/>
      <c r="S109" s="11"/>
      <c r="T109" s="11"/>
      <c r="U109" s="11"/>
      <c r="V109" s="11"/>
      <c r="W109" s="11"/>
      <c r="X109" s="11"/>
      <c r="Y109" s="11"/>
      <c r="Z109" s="11"/>
      <c r="AA109" s="11"/>
      <c r="AB109" s="11"/>
      <c r="AC109" s="11"/>
      <c r="AD109" s="11"/>
    </row>
    <row r="110">
      <c r="A110" s="37" t="s">
        <v>71</v>
      </c>
      <c r="B110" s="7" t="s">
        <v>208</v>
      </c>
      <c r="C110" s="131"/>
      <c r="D110" s="131">
        <v>23.0</v>
      </c>
      <c r="E110" s="146"/>
      <c r="F110" s="132">
        <v>6700.0</v>
      </c>
      <c r="G110" s="122" t="s">
        <v>37</v>
      </c>
      <c r="H110" s="18" t="s">
        <v>274</v>
      </c>
      <c r="I110" s="121">
        <v>40878.0</v>
      </c>
      <c r="J110" s="29" t="s">
        <v>239</v>
      </c>
      <c r="K110" s="146" t="s">
        <v>288</v>
      </c>
      <c r="L110" s="29" t="s">
        <v>277</v>
      </c>
      <c r="M110" s="11"/>
      <c r="N110" s="11"/>
      <c r="O110" s="11"/>
      <c r="P110" s="11"/>
      <c r="Q110" s="11"/>
      <c r="R110" s="11"/>
      <c r="S110" s="11"/>
      <c r="T110" s="11"/>
      <c r="U110" s="11"/>
      <c r="V110" s="11"/>
      <c r="W110" s="11"/>
      <c r="X110" s="11"/>
      <c r="Y110" s="11"/>
      <c r="Z110" s="11"/>
      <c r="AA110" s="11"/>
      <c r="AB110" s="11"/>
      <c r="AC110" s="11"/>
      <c r="AD110" s="11"/>
    </row>
    <row r="111">
      <c r="A111" s="37" t="s">
        <v>71</v>
      </c>
      <c r="B111" s="7" t="s">
        <v>208</v>
      </c>
      <c r="C111" s="131"/>
      <c r="D111" s="131">
        <v>24.0</v>
      </c>
      <c r="E111" s="146"/>
      <c r="F111" s="132">
        <v>7370.0</v>
      </c>
      <c r="G111" s="122" t="s">
        <v>37</v>
      </c>
      <c r="H111" s="18" t="s">
        <v>274</v>
      </c>
      <c r="I111" s="121">
        <v>40878.0</v>
      </c>
      <c r="J111" s="29" t="s">
        <v>239</v>
      </c>
      <c r="K111" s="146" t="s">
        <v>288</v>
      </c>
      <c r="L111" s="29" t="s">
        <v>277</v>
      </c>
      <c r="M111" s="11"/>
      <c r="N111" s="11"/>
      <c r="O111" s="11"/>
      <c r="P111" s="11"/>
      <c r="Q111" s="11"/>
      <c r="R111" s="11"/>
      <c r="S111" s="11"/>
      <c r="T111" s="11"/>
      <c r="U111" s="11"/>
      <c r="V111" s="11"/>
      <c r="W111" s="11"/>
      <c r="X111" s="11"/>
      <c r="Y111" s="11"/>
      <c r="Z111" s="11"/>
      <c r="AA111" s="11"/>
      <c r="AB111" s="11"/>
      <c r="AC111" s="11"/>
      <c r="AD111" s="11"/>
    </row>
    <row r="112">
      <c r="A112" s="37" t="s">
        <v>71</v>
      </c>
      <c r="B112" s="7" t="s">
        <v>208</v>
      </c>
      <c r="C112" s="131"/>
      <c r="D112" s="131">
        <v>25.0</v>
      </c>
      <c r="E112" s="146"/>
      <c r="F112" s="132">
        <v>8040.0</v>
      </c>
      <c r="G112" s="122" t="s">
        <v>37</v>
      </c>
      <c r="H112" s="18" t="s">
        <v>274</v>
      </c>
      <c r="I112" s="121">
        <v>40878.0</v>
      </c>
      <c r="J112" s="29" t="s">
        <v>239</v>
      </c>
      <c r="K112" s="146" t="s">
        <v>288</v>
      </c>
      <c r="L112" s="29" t="s">
        <v>277</v>
      </c>
      <c r="M112" s="11"/>
      <c r="N112" s="11"/>
      <c r="O112" s="11"/>
      <c r="P112" s="11"/>
      <c r="Q112" s="11"/>
      <c r="R112" s="11"/>
      <c r="S112" s="11"/>
      <c r="T112" s="11"/>
      <c r="U112" s="11"/>
      <c r="V112" s="11"/>
      <c r="W112" s="11"/>
      <c r="X112" s="11"/>
      <c r="Y112" s="11"/>
      <c r="Z112" s="11"/>
      <c r="AA112" s="11"/>
      <c r="AB112" s="11"/>
      <c r="AC112" s="11"/>
      <c r="AD112" s="11"/>
    </row>
    <row r="113">
      <c r="A113" s="37" t="s">
        <v>71</v>
      </c>
      <c r="B113" s="7" t="s">
        <v>208</v>
      </c>
      <c r="C113" s="131"/>
      <c r="D113" s="131">
        <v>28.0</v>
      </c>
      <c r="E113" s="146"/>
      <c r="F113" s="132">
        <v>10050.0</v>
      </c>
      <c r="G113" s="122" t="s">
        <v>37</v>
      </c>
      <c r="H113" s="18" t="s">
        <v>274</v>
      </c>
      <c r="I113" s="121">
        <v>40878.0</v>
      </c>
      <c r="J113" s="29" t="s">
        <v>239</v>
      </c>
      <c r="K113" s="146" t="s">
        <v>288</v>
      </c>
      <c r="L113" s="29" t="s">
        <v>277</v>
      </c>
      <c r="M113" s="11"/>
      <c r="N113" s="11"/>
      <c r="O113" s="11"/>
      <c r="P113" s="11"/>
      <c r="Q113" s="11"/>
      <c r="R113" s="11"/>
      <c r="S113" s="11"/>
      <c r="T113" s="11"/>
      <c r="U113" s="11"/>
      <c r="V113" s="11"/>
      <c r="W113" s="11"/>
      <c r="X113" s="11"/>
      <c r="Y113" s="11"/>
      <c r="Z113" s="11"/>
      <c r="AA113" s="11"/>
      <c r="AB113" s="11"/>
      <c r="AC113" s="11"/>
      <c r="AD113" s="11"/>
    </row>
    <row r="114">
      <c r="A114" s="37" t="s">
        <v>71</v>
      </c>
      <c r="B114" s="7" t="s">
        <v>208</v>
      </c>
      <c r="C114" s="131"/>
      <c r="D114" s="131">
        <v>33.0</v>
      </c>
      <c r="E114" s="146"/>
      <c r="F114" s="132">
        <v>13400.0</v>
      </c>
      <c r="G114" s="122" t="s">
        <v>37</v>
      </c>
      <c r="H114" s="18" t="s">
        <v>274</v>
      </c>
      <c r="I114" s="121">
        <v>40878.0</v>
      </c>
      <c r="J114" s="29" t="s">
        <v>239</v>
      </c>
      <c r="K114" s="146" t="s">
        <v>288</v>
      </c>
      <c r="L114" s="29" t="s">
        <v>277</v>
      </c>
      <c r="M114" s="11"/>
      <c r="N114" s="11"/>
      <c r="O114" s="11"/>
      <c r="P114" s="11"/>
      <c r="Q114" s="11"/>
      <c r="R114" s="11"/>
      <c r="S114" s="11"/>
      <c r="T114" s="11"/>
      <c r="U114" s="11"/>
      <c r="V114" s="11"/>
      <c r="W114" s="11"/>
      <c r="X114" s="11"/>
      <c r="Y114" s="11"/>
      <c r="Z114" s="11"/>
      <c r="AA114" s="11"/>
      <c r="AB114" s="11"/>
      <c r="AC114" s="11"/>
      <c r="AD114" s="11"/>
    </row>
    <row r="115">
      <c r="A115" s="37" t="s">
        <v>71</v>
      </c>
      <c r="B115" s="7" t="s">
        <v>208</v>
      </c>
      <c r="C115" s="131"/>
      <c r="D115" s="131">
        <v>38.0</v>
      </c>
      <c r="E115" s="146"/>
      <c r="F115" s="132">
        <v>16750.0</v>
      </c>
      <c r="G115" s="122" t="s">
        <v>37</v>
      </c>
      <c r="H115" s="18" t="s">
        <v>274</v>
      </c>
      <c r="I115" s="121">
        <v>40878.0</v>
      </c>
      <c r="J115" s="29" t="s">
        <v>239</v>
      </c>
      <c r="K115" s="146" t="s">
        <v>288</v>
      </c>
      <c r="L115" s="29" t="s">
        <v>277</v>
      </c>
      <c r="M115" s="11"/>
      <c r="N115" s="11"/>
      <c r="O115" s="11"/>
      <c r="P115" s="11"/>
      <c r="Q115" s="11"/>
      <c r="R115" s="11"/>
      <c r="S115" s="11"/>
      <c r="T115" s="11"/>
      <c r="U115" s="11"/>
      <c r="V115" s="11"/>
      <c r="W115" s="11"/>
      <c r="X115" s="11"/>
      <c r="Y115" s="11"/>
      <c r="Z115" s="11"/>
      <c r="AA115" s="11"/>
      <c r="AB115" s="11"/>
      <c r="AC115" s="11"/>
      <c r="AD115" s="11"/>
    </row>
    <row r="116">
      <c r="A116" s="37" t="s">
        <v>71</v>
      </c>
      <c r="B116" s="7" t="s">
        <v>208</v>
      </c>
      <c r="C116" s="131"/>
      <c r="D116" s="131">
        <v>43.0</v>
      </c>
      <c r="E116" s="146"/>
      <c r="F116" s="132">
        <v>20100.0</v>
      </c>
      <c r="G116" s="122" t="s">
        <v>37</v>
      </c>
      <c r="H116" s="18" t="s">
        <v>274</v>
      </c>
      <c r="I116" s="121">
        <v>40878.0</v>
      </c>
      <c r="J116" s="29" t="s">
        <v>239</v>
      </c>
      <c r="K116" s="146" t="s">
        <v>288</v>
      </c>
      <c r="L116" s="29" t="s">
        <v>277</v>
      </c>
      <c r="M116" s="11"/>
      <c r="N116" s="11"/>
      <c r="O116" s="11"/>
      <c r="P116" s="11"/>
      <c r="Q116" s="11"/>
      <c r="R116" s="11"/>
      <c r="S116" s="11"/>
      <c r="T116" s="11"/>
      <c r="U116" s="11"/>
      <c r="V116" s="11"/>
      <c r="W116" s="11"/>
      <c r="X116" s="11"/>
      <c r="Y116" s="11"/>
      <c r="Z116" s="11"/>
      <c r="AA116" s="11"/>
      <c r="AB116" s="11"/>
      <c r="AC116" s="11"/>
      <c r="AD116" s="11"/>
    </row>
    <row r="117">
      <c r="A117" s="37" t="s">
        <v>71</v>
      </c>
      <c r="B117" s="7" t="s">
        <v>208</v>
      </c>
      <c r="C117" s="131"/>
      <c r="D117" s="131">
        <v>48.0</v>
      </c>
      <c r="E117" s="146"/>
      <c r="F117" s="132">
        <v>23450.0</v>
      </c>
      <c r="G117" s="122" t="s">
        <v>37</v>
      </c>
      <c r="H117" s="18" t="s">
        <v>274</v>
      </c>
      <c r="I117" s="121">
        <v>40878.0</v>
      </c>
      <c r="J117" s="29" t="s">
        <v>239</v>
      </c>
      <c r="K117" s="146" t="s">
        <v>288</v>
      </c>
      <c r="L117" s="29" t="s">
        <v>277</v>
      </c>
      <c r="M117" s="11"/>
      <c r="N117" s="11"/>
      <c r="O117" s="11"/>
      <c r="P117" s="11"/>
      <c r="Q117" s="11"/>
      <c r="R117" s="11"/>
      <c r="S117" s="11"/>
      <c r="T117" s="11"/>
      <c r="U117" s="11"/>
      <c r="V117" s="11"/>
      <c r="W117" s="11"/>
      <c r="X117" s="11"/>
      <c r="Y117" s="11"/>
      <c r="Z117" s="11"/>
      <c r="AA117" s="11"/>
      <c r="AB117" s="11"/>
      <c r="AC117" s="11"/>
      <c r="AD117" s="11"/>
    </row>
    <row r="118">
      <c r="A118" s="37" t="s">
        <v>71</v>
      </c>
      <c r="B118" s="7" t="s">
        <v>208</v>
      </c>
      <c r="C118" s="117" t="s">
        <v>278</v>
      </c>
      <c r="D118" s="131">
        <v>53.0</v>
      </c>
      <c r="E118" s="146"/>
      <c r="F118" s="132">
        <v>26800.0</v>
      </c>
      <c r="G118" s="122" t="s">
        <v>37</v>
      </c>
      <c r="H118" s="18" t="s">
        <v>274</v>
      </c>
      <c r="I118" s="121">
        <v>40878.0</v>
      </c>
      <c r="J118" s="29" t="s">
        <v>239</v>
      </c>
      <c r="K118" s="146" t="s">
        <v>288</v>
      </c>
      <c r="L118" s="29" t="s">
        <v>277</v>
      </c>
      <c r="M118" s="11"/>
      <c r="N118" s="11"/>
      <c r="O118" s="11"/>
      <c r="P118" s="11"/>
      <c r="Q118" s="11"/>
      <c r="R118" s="11"/>
      <c r="S118" s="11"/>
      <c r="T118" s="11"/>
      <c r="U118" s="11"/>
      <c r="V118" s="11"/>
      <c r="W118" s="11"/>
      <c r="X118" s="11"/>
      <c r="Y118" s="11"/>
      <c r="Z118" s="11"/>
      <c r="AA118" s="11"/>
      <c r="AB118" s="11"/>
      <c r="AC118" s="11"/>
      <c r="AD118" s="11"/>
    </row>
    <row r="119">
      <c r="A119" s="37" t="s">
        <v>71</v>
      </c>
      <c r="B119" s="7" t="s">
        <v>208</v>
      </c>
      <c r="C119" s="117" t="s">
        <v>273</v>
      </c>
      <c r="D119" s="118">
        <v>0.0</v>
      </c>
      <c r="E119" s="138">
        <v>39.99</v>
      </c>
      <c r="F119" s="95">
        <v>15000.0</v>
      </c>
      <c r="G119" s="122" t="s">
        <v>37</v>
      </c>
      <c r="H119" s="18" t="s">
        <v>274</v>
      </c>
      <c r="I119" s="143" t="s">
        <v>240</v>
      </c>
      <c r="J119" s="29"/>
      <c r="K119" s="147" t="s">
        <v>289</v>
      </c>
      <c r="L119" s="29" t="s">
        <v>277</v>
      </c>
      <c r="M119" s="11"/>
      <c r="N119" s="11"/>
      <c r="O119" s="11"/>
      <c r="P119" s="11"/>
      <c r="Q119" s="11"/>
      <c r="R119" s="11"/>
      <c r="S119" s="11"/>
      <c r="T119" s="11"/>
      <c r="U119" s="11"/>
      <c r="V119" s="11"/>
      <c r="W119" s="11"/>
      <c r="X119" s="11"/>
      <c r="Y119" s="11"/>
      <c r="Z119" s="11"/>
      <c r="AA119" s="11"/>
      <c r="AB119" s="11"/>
      <c r="AC119" s="11"/>
      <c r="AD119" s="11"/>
    </row>
    <row r="120">
      <c r="A120" s="37" t="s">
        <v>71</v>
      </c>
      <c r="B120" s="7" t="s">
        <v>208</v>
      </c>
      <c r="C120" s="118"/>
      <c r="D120" s="118">
        <v>40.0</v>
      </c>
      <c r="E120" s="138">
        <v>44.9</v>
      </c>
      <c r="F120" s="95">
        <v>16000.0</v>
      </c>
      <c r="G120" s="122" t="s">
        <v>37</v>
      </c>
      <c r="H120" s="18" t="s">
        <v>274</v>
      </c>
      <c r="I120" s="143" t="s">
        <v>240</v>
      </c>
      <c r="J120" s="29"/>
      <c r="K120" s="147" t="s">
        <v>289</v>
      </c>
      <c r="L120" s="29" t="s">
        <v>277</v>
      </c>
      <c r="M120" s="11"/>
      <c r="N120" s="11"/>
      <c r="O120" s="11"/>
      <c r="P120" s="11"/>
      <c r="Q120" s="11"/>
      <c r="R120" s="11"/>
      <c r="S120" s="11"/>
      <c r="T120" s="11"/>
      <c r="U120" s="11"/>
      <c r="V120" s="11"/>
      <c r="W120" s="11"/>
      <c r="X120" s="11"/>
      <c r="Y120" s="11"/>
      <c r="Z120" s="11"/>
      <c r="AA120" s="11"/>
      <c r="AB120" s="11"/>
      <c r="AC120" s="11"/>
      <c r="AD120" s="11"/>
    </row>
    <row r="121">
      <c r="A121" s="37" t="s">
        <v>71</v>
      </c>
      <c r="B121" s="7" t="s">
        <v>208</v>
      </c>
      <c r="C121" s="118"/>
      <c r="D121" s="118">
        <v>45.0</v>
      </c>
      <c r="E121" s="138">
        <v>49.9</v>
      </c>
      <c r="F121" s="95">
        <v>18000.0</v>
      </c>
      <c r="G121" s="122" t="s">
        <v>37</v>
      </c>
      <c r="H121" s="18" t="s">
        <v>274</v>
      </c>
      <c r="I121" s="143" t="s">
        <v>240</v>
      </c>
      <c r="J121" s="29"/>
      <c r="K121" s="147" t="s">
        <v>289</v>
      </c>
      <c r="L121" s="29" t="s">
        <v>277</v>
      </c>
      <c r="M121" s="11"/>
      <c r="N121" s="11"/>
      <c r="O121" s="11"/>
      <c r="P121" s="11"/>
      <c r="Q121" s="11"/>
      <c r="R121" s="11"/>
      <c r="S121" s="11"/>
      <c r="T121" s="11"/>
      <c r="U121" s="11"/>
      <c r="V121" s="11"/>
      <c r="W121" s="11"/>
      <c r="X121" s="11"/>
      <c r="Y121" s="11"/>
      <c r="Z121" s="11"/>
      <c r="AA121" s="11"/>
      <c r="AB121" s="11"/>
      <c r="AC121" s="11"/>
      <c r="AD121" s="11"/>
    </row>
    <row r="122">
      <c r="A122" s="37" t="s">
        <v>71</v>
      </c>
      <c r="B122" s="7" t="s">
        <v>208</v>
      </c>
      <c r="C122" s="118"/>
      <c r="D122" s="118">
        <v>50.0</v>
      </c>
      <c r="E122" s="138">
        <v>54.9</v>
      </c>
      <c r="F122" s="95">
        <v>20000.0</v>
      </c>
      <c r="G122" s="122" t="s">
        <v>37</v>
      </c>
      <c r="H122" s="18" t="s">
        <v>274</v>
      </c>
      <c r="I122" s="143" t="s">
        <v>240</v>
      </c>
      <c r="J122" s="29"/>
      <c r="K122" s="147" t="s">
        <v>289</v>
      </c>
      <c r="L122" s="29" t="s">
        <v>277</v>
      </c>
      <c r="M122" s="11"/>
      <c r="N122" s="11"/>
      <c r="O122" s="11"/>
      <c r="P122" s="11"/>
      <c r="Q122" s="11"/>
      <c r="R122" s="11"/>
      <c r="S122" s="11"/>
      <c r="T122" s="11"/>
      <c r="U122" s="11"/>
      <c r="V122" s="11"/>
      <c r="W122" s="11"/>
      <c r="X122" s="11"/>
      <c r="Y122" s="11"/>
      <c r="Z122" s="11"/>
      <c r="AA122" s="11"/>
      <c r="AB122" s="11"/>
      <c r="AC122" s="11"/>
      <c r="AD122" s="11"/>
    </row>
    <row r="123">
      <c r="A123" s="37" t="s">
        <v>71</v>
      </c>
      <c r="B123" s="7" t="s">
        <v>208</v>
      </c>
      <c r="C123" s="118"/>
      <c r="D123" s="118">
        <v>55.0</v>
      </c>
      <c r="E123" s="138">
        <v>59.9</v>
      </c>
      <c r="F123" s="95">
        <v>22000.0</v>
      </c>
      <c r="G123" s="122" t="s">
        <v>37</v>
      </c>
      <c r="H123" s="18" t="s">
        <v>274</v>
      </c>
      <c r="I123" s="143" t="s">
        <v>240</v>
      </c>
      <c r="J123" s="29"/>
      <c r="K123" s="147" t="s">
        <v>289</v>
      </c>
      <c r="L123" s="29" t="s">
        <v>277</v>
      </c>
      <c r="M123" s="11"/>
      <c r="N123" s="11"/>
      <c r="O123" s="11"/>
      <c r="P123" s="11"/>
      <c r="Q123" s="11"/>
      <c r="R123" s="11"/>
      <c r="S123" s="11"/>
      <c r="T123" s="11"/>
      <c r="U123" s="11"/>
      <c r="V123" s="11"/>
      <c r="W123" s="11"/>
      <c r="X123" s="11"/>
      <c r="Y123" s="11"/>
      <c r="Z123" s="11"/>
      <c r="AA123" s="11"/>
      <c r="AB123" s="11"/>
      <c r="AC123" s="11"/>
      <c r="AD123" s="11"/>
    </row>
    <row r="124">
      <c r="A124" s="37" t="s">
        <v>71</v>
      </c>
      <c r="B124" s="7" t="s">
        <v>208</v>
      </c>
      <c r="C124" s="118"/>
      <c r="D124" s="118">
        <v>60.0</v>
      </c>
      <c r="E124" s="138">
        <v>64.9</v>
      </c>
      <c r="F124" s="95">
        <v>24000.0</v>
      </c>
      <c r="G124" s="122" t="s">
        <v>37</v>
      </c>
      <c r="H124" s="18" t="s">
        <v>274</v>
      </c>
      <c r="I124" s="143" t="s">
        <v>240</v>
      </c>
      <c r="J124" s="29"/>
      <c r="K124" s="147" t="s">
        <v>289</v>
      </c>
      <c r="L124" s="29" t="s">
        <v>277</v>
      </c>
      <c r="M124" s="11"/>
      <c r="N124" s="11"/>
      <c r="O124" s="11"/>
      <c r="P124" s="11"/>
      <c r="Q124" s="11"/>
      <c r="R124" s="11"/>
      <c r="S124" s="11"/>
      <c r="T124" s="11"/>
      <c r="U124" s="11"/>
      <c r="V124" s="11"/>
      <c r="W124" s="11"/>
      <c r="X124" s="11"/>
      <c r="Y124" s="11"/>
      <c r="Z124" s="11"/>
      <c r="AA124" s="11"/>
      <c r="AB124" s="11"/>
      <c r="AC124" s="11"/>
      <c r="AD124" s="11"/>
    </row>
    <row r="125">
      <c r="A125" s="37" t="s">
        <v>71</v>
      </c>
      <c r="B125" s="7" t="s">
        <v>208</v>
      </c>
      <c r="C125" s="118"/>
      <c r="D125" s="118">
        <v>65.0</v>
      </c>
      <c r="E125" s="122">
        <v>69.9</v>
      </c>
      <c r="F125" s="95">
        <v>26000.0</v>
      </c>
      <c r="G125" s="122" t="s">
        <v>37</v>
      </c>
      <c r="H125" s="18" t="s">
        <v>274</v>
      </c>
      <c r="I125" s="143" t="s">
        <v>240</v>
      </c>
      <c r="J125" s="29"/>
      <c r="K125" s="147" t="s">
        <v>289</v>
      </c>
      <c r="L125" s="29" t="s">
        <v>277</v>
      </c>
      <c r="M125" s="11"/>
      <c r="N125" s="11"/>
      <c r="O125" s="11"/>
      <c r="P125" s="11"/>
      <c r="Q125" s="11"/>
      <c r="R125" s="11"/>
      <c r="S125" s="11"/>
      <c r="T125" s="11"/>
      <c r="U125" s="11"/>
      <c r="V125" s="11"/>
      <c r="W125" s="11"/>
      <c r="X125" s="11"/>
      <c r="Y125" s="11"/>
      <c r="Z125" s="11"/>
      <c r="AA125" s="11"/>
      <c r="AB125" s="11"/>
      <c r="AC125" s="11"/>
      <c r="AD125" s="11"/>
    </row>
    <row r="126">
      <c r="A126" s="37" t="s">
        <v>71</v>
      </c>
      <c r="B126" s="7" t="s">
        <v>208</v>
      </c>
      <c r="C126" s="118"/>
      <c r="D126" s="118">
        <v>70.0</v>
      </c>
      <c r="E126" s="138">
        <v>74.9</v>
      </c>
      <c r="F126" s="95">
        <v>28000.0</v>
      </c>
      <c r="G126" s="122" t="s">
        <v>37</v>
      </c>
      <c r="H126" s="18" t="s">
        <v>274</v>
      </c>
      <c r="I126" s="143" t="s">
        <v>240</v>
      </c>
      <c r="J126" s="29"/>
      <c r="K126" s="147" t="s">
        <v>289</v>
      </c>
      <c r="L126" s="29" t="s">
        <v>277</v>
      </c>
      <c r="M126" s="11"/>
      <c r="N126" s="11"/>
      <c r="O126" s="11"/>
      <c r="P126" s="11"/>
      <c r="Q126" s="11"/>
      <c r="R126" s="11"/>
      <c r="S126" s="11"/>
      <c r="T126" s="11"/>
      <c r="U126" s="11"/>
      <c r="V126" s="11"/>
      <c r="W126" s="11"/>
      <c r="X126" s="11"/>
      <c r="Y126" s="11"/>
      <c r="Z126" s="11"/>
      <c r="AA126" s="11"/>
      <c r="AB126" s="11"/>
      <c r="AC126" s="11"/>
      <c r="AD126" s="11"/>
    </row>
    <row r="127">
      <c r="A127" s="37" t="s">
        <v>71</v>
      </c>
      <c r="B127" s="7" t="s">
        <v>208</v>
      </c>
      <c r="C127" s="118"/>
      <c r="D127" s="118">
        <v>75.0</v>
      </c>
      <c r="E127" s="122">
        <v>79.9</v>
      </c>
      <c r="F127" s="95">
        <v>30000.0</v>
      </c>
      <c r="G127" s="122" t="s">
        <v>37</v>
      </c>
      <c r="H127" s="18" t="s">
        <v>274</v>
      </c>
      <c r="I127" s="143" t="s">
        <v>240</v>
      </c>
      <c r="J127" s="29"/>
      <c r="K127" s="147" t="s">
        <v>289</v>
      </c>
      <c r="L127" s="29" t="s">
        <v>277</v>
      </c>
      <c r="M127" s="11"/>
      <c r="N127" s="11"/>
      <c r="O127" s="11"/>
      <c r="P127" s="11"/>
      <c r="Q127" s="11"/>
      <c r="R127" s="11"/>
      <c r="S127" s="11"/>
      <c r="T127" s="11"/>
      <c r="U127" s="11"/>
      <c r="V127" s="11"/>
      <c r="W127" s="11"/>
      <c r="X127" s="11"/>
      <c r="Y127" s="11"/>
      <c r="Z127" s="11"/>
      <c r="AA127" s="11"/>
      <c r="AB127" s="11"/>
      <c r="AC127" s="11"/>
      <c r="AD127" s="11"/>
    </row>
    <row r="128">
      <c r="A128" s="37" t="s">
        <v>71</v>
      </c>
      <c r="B128" s="7" t="s">
        <v>208</v>
      </c>
      <c r="C128" s="118"/>
      <c r="D128" s="118">
        <v>80.0</v>
      </c>
      <c r="E128" s="138">
        <v>84.9</v>
      </c>
      <c r="F128" s="95">
        <v>32000.0</v>
      </c>
      <c r="G128" s="122" t="s">
        <v>37</v>
      </c>
      <c r="H128" s="18" t="s">
        <v>274</v>
      </c>
      <c r="I128" s="143" t="s">
        <v>240</v>
      </c>
      <c r="J128" s="29"/>
      <c r="K128" s="147" t="s">
        <v>289</v>
      </c>
      <c r="L128" s="29" t="s">
        <v>277</v>
      </c>
      <c r="M128" s="11"/>
      <c r="N128" s="11"/>
      <c r="O128" s="11"/>
      <c r="P128" s="11"/>
      <c r="Q128" s="11"/>
      <c r="R128" s="11"/>
      <c r="S128" s="11"/>
      <c r="T128" s="11"/>
      <c r="U128" s="11"/>
      <c r="V128" s="11"/>
      <c r="W128" s="11"/>
      <c r="X128" s="11"/>
      <c r="Y128" s="11"/>
      <c r="Z128" s="11"/>
      <c r="AA128" s="11"/>
      <c r="AB128" s="11"/>
      <c r="AC128" s="11"/>
      <c r="AD128" s="11"/>
    </row>
    <row r="129">
      <c r="A129" s="37" t="s">
        <v>71</v>
      </c>
      <c r="B129" s="7" t="s">
        <v>208</v>
      </c>
      <c r="C129" s="118"/>
      <c r="D129" s="118">
        <v>85.0</v>
      </c>
      <c r="E129" s="138">
        <v>89.9</v>
      </c>
      <c r="F129" s="95">
        <v>34000.0</v>
      </c>
      <c r="G129" s="122" t="s">
        <v>37</v>
      </c>
      <c r="H129" s="18" t="s">
        <v>274</v>
      </c>
      <c r="I129" s="143" t="s">
        <v>240</v>
      </c>
      <c r="J129" s="29"/>
      <c r="K129" s="147" t="s">
        <v>289</v>
      </c>
      <c r="L129" s="29" t="s">
        <v>277</v>
      </c>
      <c r="M129" s="11"/>
      <c r="N129" s="11"/>
      <c r="O129" s="11"/>
      <c r="P129" s="11"/>
      <c r="Q129" s="11"/>
      <c r="R129" s="11"/>
      <c r="S129" s="11"/>
      <c r="T129" s="11"/>
      <c r="U129" s="11"/>
      <c r="V129" s="11"/>
      <c r="W129" s="11"/>
      <c r="X129" s="11"/>
      <c r="Y129" s="11"/>
      <c r="Z129" s="11"/>
      <c r="AA129" s="11"/>
      <c r="AB129" s="11"/>
      <c r="AC129" s="11"/>
      <c r="AD129" s="11"/>
    </row>
    <row r="130">
      <c r="A130" s="37" t="s">
        <v>71</v>
      </c>
      <c r="B130" s="7" t="s">
        <v>208</v>
      </c>
      <c r="C130" s="118"/>
      <c r="D130" s="118">
        <v>90.0</v>
      </c>
      <c r="E130" s="138">
        <v>94.9</v>
      </c>
      <c r="F130" s="95">
        <v>36000.0</v>
      </c>
      <c r="G130" s="122" t="s">
        <v>37</v>
      </c>
      <c r="H130" s="18" t="s">
        <v>274</v>
      </c>
      <c r="I130" s="143" t="s">
        <v>240</v>
      </c>
      <c r="J130" s="29"/>
      <c r="K130" s="147" t="s">
        <v>289</v>
      </c>
      <c r="L130" s="29" t="s">
        <v>277</v>
      </c>
      <c r="M130" s="11"/>
      <c r="N130" s="11"/>
      <c r="O130" s="11"/>
      <c r="P130" s="11"/>
      <c r="Q130" s="11"/>
      <c r="R130" s="11"/>
      <c r="S130" s="11"/>
      <c r="T130" s="11"/>
      <c r="U130" s="11"/>
      <c r="V130" s="11"/>
      <c r="W130" s="11"/>
      <c r="X130" s="11"/>
      <c r="Y130" s="11"/>
      <c r="Z130" s="11"/>
      <c r="AA130" s="11"/>
      <c r="AB130" s="11"/>
      <c r="AC130" s="11"/>
      <c r="AD130" s="11"/>
    </row>
    <row r="131">
      <c r="A131" s="37" t="s">
        <v>71</v>
      </c>
      <c r="B131" s="7" t="s">
        <v>208</v>
      </c>
      <c r="C131" s="118"/>
      <c r="D131" s="118">
        <v>95.0</v>
      </c>
      <c r="E131" s="138">
        <v>99.9</v>
      </c>
      <c r="F131" s="95">
        <v>38000.0</v>
      </c>
      <c r="G131" s="122" t="s">
        <v>37</v>
      </c>
      <c r="H131" s="18" t="s">
        <v>274</v>
      </c>
      <c r="I131" s="143" t="s">
        <v>240</v>
      </c>
      <c r="J131" s="29"/>
      <c r="K131" s="147" t="s">
        <v>289</v>
      </c>
      <c r="L131" s="29" t="s">
        <v>277</v>
      </c>
      <c r="M131" s="11"/>
      <c r="N131" s="11"/>
      <c r="O131" s="11"/>
      <c r="P131" s="11"/>
      <c r="Q131" s="11"/>
      <c r="R131" s="11"/>
      <c r="S131" s="11"/>
      <c r="T131" s="11"/>
      <c r="U131" s="11"/>
      <c r="V131" s="11"/>
      <c r="W131" s="11"/>
      <c r="X131" s="11"/>
      <c r="Y131" s="11"/>
      <c r="Z131" s="11"/>
      <c r="AA131" s="11"/>
      <c r="AB131" s="11"/>
      <c r="AC131" s="11"/>
      <c r="AD131" s="11"/>
    </row>
    <row r="132">
      <c r="A132" s="37" t="s">
        <v>71</v>
      </c>
      <c r="B132" s="7" t="s">
        <v>208</v>
      </c>
      <c r="C132" s="117" t="s">
        <v>278</v>
      </c>
      <c r="D132" s="118">
        <v>100.0</v>
      </c>
      <c r="E132" s="138"/>
      <c r="F132" s="95">
        <v>40000.0</v>
      </c>
      <c r="G132" s="122" t="s">
        <v>37</v>
      </c>
      <c r="H132" s="18" t="s">
        <v>274</v>
      </c>
      <c r="I132" s="143" t="s">
        <v>240</v>
      </c>
      <c r="J132" s="29"/>
      <c r="K132" s="147" t="s">
        <v>289</v>
      </c>
      <c r="L132" s="29" t="s">
        <v>277</v>
      </c>
      <c r="M132" s="11"/>
      <c r="N132" s="11"/>
      <c r="O132" s="11"/>
      <c r="P132" s="11"/>
      <c r="Q132" s="11"/>
      <c r="R132" s="11"/>
      <c r="S132" s="11"/>
      <c r="T132" s="11"/>
      <c r="U132" s="11"/>
      <c r="V132" s="11"/>
      <c r="W132" s="11"/>
      <c r="X132" s="11"/>
      <c r="Y132" s="11"/>
      <c r="Z132" s="11"/>
      <c r="AA132" s="11"/>
      <c r="AB132" s="11"/>
      <c r="AC132" s="11"/>
      <c r="AD132" s="11"/>
    </row>
    <row r="133">
      <c r="A133" s="124"/>
      <c r="B133" s="46"/>
      <c r="C133" s="125"/>
      <c r="D133" s="125"/>
      <c r="E133" s="126"/>
      <c r="F133" s="127"/>
      <c r="G133" s="126"/>
      <c r="H133" s="46"/>
      <c r="I133" s="128"/>
      <c r="J133" s="46"/>
      <c r="K133" s="46"/>
      <c r="L133" s="46"/>
      <c r="M133" s="46"/>
      <c r="N133" s="46"/>
      <c r="O133" s="46"/>
      <c r="P133" s="46"/>
      <c r="Q133" s="46"/>
      <c r="R133" s="46"/>
      <c r="S133" s="46"/>
      <c r="T133" s="46"/>
      <c r="U133" s="46"/>
      <c r="V133" s="46"/>
      <c r="W133" s="46"/>
      <c r="X133" s="46"/>
      <c r="Y133" s="46"/>
      <c r="Z133" s="46"/>
      <c r="AA133" s="46"/>
      <c r="AB133" s="46"/>
      <c r="AC133" s="46"/>
      <c r="AD133" s="46"/>
      <c r="AE133" s="46"/>
    </row>
    <row r="134">
      <c r="A134" s="37" t="s">
        <v>75</v>
      </c>
      <c r="B134" s="6" t="s">
        <v>76</v>
      </c>
      <c r="C134" s="117" t="s">
        <v>273</v>
      </c>
      <c r="D134" s="148">
        <v>0.0</v>
      </c>
      <c r="E134" s="141">
        <v>19.9</v>
      </c>
      <c r="F134" s="132">
        <v>15000.0</v>
      </c>
      <c r="G134" s="122" t="s">
        <v>37</v>
      </c>
      <c r="H134" s="18" t="s">
        <v>274</v>
      </c>
      <c r="I134" s="121">
        <v>38899.0</v>
      </c>
      <c r="J134" s="29"/>
      <c r="K134" s="146"/>
      <c r="L134" s="11"/>
      <c r="M134" s="11"/>
      <c r="N134" s="11"/>
      <c r="O134" s="11"/>
      <c r="P134" s="11"/>
      <c r="Q134" s="11"/>
      <c r="R134" s="11"/>
      <c r="S134" s="11"/>
      <c r="T134" s="11"/>
      <c r="U134" s="11"/>
      <c r="V134" s="11"/>
      <c r="W134" s="11"/>
      <c r="X134" s="11"/>
      <c r="Y134" s="11"/>
      <c r="Z134" s="11"/>
      <c r="AA134" s="11"/>
      <c r="AB134" s="11"/>
      <c r="AC134" s="11"/>
      <c r="AD134" s="11"/>
    </row>
    <row r="135">
      <c r="A135" s="37" t="s">
        <v>75</v>
      </c>
      <c r="B135" s="6" t="s">
        <v>76</v>
      </c>
      <c r="C135" s="141"/>
      <c r="D135" s="148">
        <v>20.0</v>
      </c>
      <c r="E135" s="141">
        <v>24.9</v>
      </c>
      <c r="F135" s="132">
        <v>20000.0</v>
      </c>
      <c r="G135" s="122" t="s">
        <v>37</v>
      </c>
      <c r="H135" s="18" t="s">
        <v>274</v>
      </c>
      <c r="I135" s="121">
        <v>38899.0</v>
      </c>
      <c r="J135" s="29"/>
      <c r="K135" s="146"/>
      <c r="L135" s="11"/>
      <c r="M135" s="11"/>
      <c r="N135" s="11"/>
      <c r="O135" s="11"/>
      <c r="P135" s="11"/>
      <c r="Q135" s="11"/>
      <c r="R135" s="11"/>
      <c r="S135" s="11"/>
      <c r="T135" s="11"/>
      <c r="U135" s="11"/>
      <c r="V135" s="11"/>
      <c r="W135" s="11"/>
      <c r="X135" s="11"/>
      <c r="Y135" s="11"/>
      <c r="Z135" s="11"/>
      <c r="AA135" s="11"/>
      <c r="AB135" s="11"/>
      <c r="AC135" s="11"/>
      <c r="AD135" s="11"/>
    </row>
    <row r="136">
      <c r="A136" s="37" t="s">
        <v>75</v>
      </c>
      <c r="B136" s="6" t="s">
        <v>76</v>
      </c>
      <c r="C136" s="141"/>
      <c r="D136" s="148">
        <v>25.0</v>
      </c>
      <c r="E136" s="141">
        <v>29.9</v>
      </c>
      <c r="F136" s="132">
        <v>25000.0</v>
      </c>
      <c r="G136" s="122" t="s">
        <v>37</v>
      </c>
      <c r="H136" s="18" t="s">
        <v>274</v>
      </c>
      <c r="I136" s="121">
        <v>38899.0</v>
      </c>
      <c r="J136" s="29"/>
      <c r="K136" s="146"/>
      <c r="L136" s="11"/>
      <c r="M136" s="11"/>
      <c r="N136" s="11"/>
      <c r="O136" s="11"/>
      <c r="P136" s="11"/>
      <c r="Q136" s="11"/>
      <c r="R136" s="11"/>
      <c r="S136" s="11"/>
      <c r="T136" s="11"/>
      <c r="U136" s="11"/>
      <c r="V136" s="11"/>
      <c r="W136" s="11"/>
      <c r="X136" s="11"/>
      <c r="Y136" s="11"/>
      <c r="Z136" s="11"/>
      <c r="AA136" s="11"/>
      <c r="AB136" s="11"/>
      <c r="AC136" s="11"/>
      <c r="AD136" s="11"/>
    </row>
    <row r="137">
      <c r="A137" s="37" t="s">
        <v>75</v>
      </c>
      <c r="B137" s="6" t="s">
        <v>76</v>
      </c>
      <c r="C137" s="141"/>
      <c r="D137" s="148">
        <v>30.0</v>
      </c>
      <c r="E137" s="141">
        <v>34.9</v>
      </c>
      <c r="F137" s="132">
        <v>30000.0</v>
      </c>
      <c r="G137" s="122" t="s">
        <v>37</v>
      </c>
      <c r="H137" s="18" t="s">
        <v>274</v>
      </c>
      <c r="I137" s="121">
        <v>38899.0</v>
      </c>
    </row>
    <row r="138">
      <c r="A138" s="37" t="s">
        <v>75</v>
      </c>
      <c r="B138" s="6" t="s">
        <v>76</v>
      </c>
      <c r="C138" s="141"/>
      <c r="D138" s="148">
        <v>35.0</v>
      </c>
      <c r="E138" s="141">
        <v>39.9</v>
      </c>
      <c r="F138" s="132">
        <v>35000.0</v>
      </c>
      <c r="G138" s="122" t="s">
        <v>37</v>
      </c>
      <c r="H138" s="18" t="s">
        <v>274</v>
      </c>
      <c r="I138" s="121">
        <v>38899.0</v>
      </c>
    </row>
    <row r="139">
      <c r="A139" s="37" t="s">
        <v>75</v>
      </c>
      <c r="B139" s="6" t="s">
        <v>76</v>
      </c>
      <c r="C139" s="142"/>
      <c r="D139" s="148">
        <v>40.0</v>
      </c>
      <c r="E139" s="141">
        <v>44.9</v>
      </c>
      <c r="F139" s="132">
        <v>40000.0</v>
      </c>
      <c r="G139" s="122" t="s">
        <v>37</v>
      </c>
      <c r="H139" s="18" t="s">
        <v>274</v>
      </c>
      <c r="I139" s="121">
        <v>38899.0</v>
      </c>
    </row>
    <row r="140">
      <c r="A140" s="37" t="s">
        <v>75</v>
      </c>
      <c r="B140" s="6" t="s">
        <v>76</v>
      </c>
      <c r="C140" s="141"/>
      <c r="D140" s="148">
        <v>45.0</v>
      </c>
      <c r="E140" s="141">
        <v>49.9</v>
      </c>
      <c r="F140" s="132">
        <v>45000.0</v>
      </c>
      <c r="G140" s="122" t="s">
        <v>37</v>
      </c>
      <c r="H140" s="18" t="s">
        <v>274</v>
      </c>
      <c r="I140" s="121">
        <v>38899.0</v>
      </c>
    </row>
    <row r="141">
      <c r="A141" s="37" t="s">
        <v>75</v>
      </c>
      <c r="B141" s="6" t="s">
        <v>76</v>
      </c>
      <c r="C141" s="142"/>
      <c r="D141" s="148">
        <v>50.0</v>
      </c>
      <c r="E141" s="141">
        <v>54.9</v>
      </c>
      <c r="F141" s="132">
        <v>50000.0</v>
      </c>
      <c r="G141" s="122" t="s">
        <v>37</v>
      </c>
      <c r="H141" s="18" t="s">
        <v>274</v>
      </c>
      <c r="I141" s="121">
        <v>38899.0</v>
      </c>
    </row>
    <row r="142">
      <c r="A142" s="37" t="s">
        <v>75</v>
      </c>
      <c r="B142" s="6" t="s">
        <v>76</v>
      </c>
      <c r="C142" s="141"/>
      <c r="D142" s="148">
        <v>55.0</v>
      </c>
      <c r="E142" s="141">
        <v>59.9</v>
      </c>
      <c r="F142" s="132">
        <v>55000.0</v>
      </c>
      <c r="G142" s="122" t="s">
        <v>37</v>
      </c>
      <c r="H142" s="18" t="s">
        <v>274</v>
      </c>
      <c r="I142" s="121">
        <v>38899.0</v>
      </c>
    </row>
    <row r="143">
      <c r="A143" s="37" t="s">
        <v>75</v>
      </c>
      <c r="B143" s="6" t="s">
        <v>76</v>
      </c>
      <c r="C143" s="141"/>
      <c r="D143" s="148">
        <v>60.0</v>
      </c>
      <c r="E143" s="141">
        <v>64.9</v>
      </c>
      <c r="F143" s="132">
        <v>60000.0</v>
      </c>
      <c r="G143" s="122" t="s">
        <v>37</v>
      </c>
      <c r="H143" s="18" t="s">
        <v>274</v>
      </c>
      <c r="I143" s="121">
        <v>38899.0</v>
      </c>
    </row>
    <row r="144">
      <c r="A144" s="37" t="s">
        <v>75</v>
      </c>
      <c r="B144" s="6" t="s">
        <v>76</v>
      </c>
      <c r="C144" s="141"/>
      <c r="D144" s="148">
        <v>65.0</v>
      </c>
      <c r="E144" s="141">
        <v>69.9</v>
      </c>
      <c r="F144" s="132">
        <v>65000.0</v>
      </c>
      <c r="G144" s="122" t="s">
        <v>37</v>
      </c>
      <c r="H144" s="18" t="s">
        <v>274</v>
      </c>
      <c r="I144" s="121">
        <v>38899.0</v>
      </c>
    </row>
    <row r="145">
      <c r="A145" s="37" t="s">
        <v>75</v>
      </c>
      <c r="B145" s="6" t="s">
        <v>76</v>
      </c>
      <c r="C145" s="141"/>
      <c r="D145" s="148">
        <v>70.0</v>
      </c>
      <c r="E145" s="141">
        <v>74.9</v>
      </c>
      <c r="F145" s="132">
        <v>70000.0</v>
      </c>
      <c r="G145" s="122" t="s">
        <v>37</v>
      </c>
      <c r="H145" s="18" t="s">
        <v>274</v>
      </c>
      <c r="I145" s="121">
        <v>38899.0</v>
      </c>
    </row>
    <row r="146">
      <c r="A146" s="37" t="s">
        <v>75</v>
      </c>
      <c r="B146" s="6" t="s">
        <v>76</v>
      </c>
      <c r="C146" s="141"/>
      <c r="D146" s="148">
        <v>75.0</v>
      </c>
      <c r="E146" s="141">
        <v>79.9</v>
      </c>
      <c r="F146" s="132">
        <v>75000.0</v>
      </c>
      <c r="G146" s="122" t="s">
        <v>37</v>
      </c>
      <c r="H146" s="18" t="s">
        <v>274</v>
      </c>
      <c r="I146" s="121">
        <v>38899.0</v>
      </c>
    </row>
    <row r="147">
      <c r="A147" s="37" t="s">
        <v>75</v>
      </c>
      <c r="B147" s="6" t="s">
        <v>76</v>
      </c>
      <c r="C147" s="141"/>
      <c r="D147" s="148">
        <v>80.0</v>
      </c>
      <c r="E147" s="141">
        <v>84.9</v>
      </c>
      <c r="F147" s="132">
        <v>80000.0</v>
      </c>
      <c r="G147" s="122" t="s">
        <v>37</v>
      </c>
      <c r="H147" s="18" t="s">
        <v>274</v>
      </c>
      <c r="I147" s="121">
        <v>38899.0</v>
      </c>
    </row>
    <row r="148">
      <c r="A148" s="37" t="s">
        <v>75</v>
      </c>
      <c r="B148" s="6" t="s">
        <v>76</v>
      </c>
      <c r="C148" s="141"/>
      <c r="D148" s="148">
        <v>85.0</v>
      </c>
      <c r="E148" s="141">
        <v>89.9</v>
      </c>
      <c r="F148" s="132">
        <v>85000.0</v>
      </c>
      <c r="G148" s="122" t="s">
        <v>37</v>
      </c>
      <c r="H148" s="18" t="s">
        <v>274</v>
      </c>
      <c r="I148" s="121">
        <v>38899.0</v>
      </c>
    </row>
    <row r="149">
      <c r="A149" s="37" t="s">
        <v>75</v>
      </c>
      <c r="B149" s="6" t="s">
        <v>76</v>
      </c>
      <c r="C149" s="141"/>
      <c r="D149" s="148">
        <v>90.0</v>
      </c>
      <c r="E149" s="141">
        <v>94.9</v>
      </c>
      <c r="F149" s="132">
        <v>90000.0</v>
      </c>
      <c r="G149" s="122" t="s">
        <v>37</v>
      </c>
      <c r="H149" s="18" t="s">
        <v>274</v>
      </c>
      <c r="I149" s="121">
        <v>38899.0</v>
      </c>
    </row>
    <row r="150">
      <c r="A150" s="37" t="s">
        <v>75</v>
      </c>
      <c r="B150" s="6" t="s">
        <v>76</v>
      </c>
      <c r="C150" s="135"/>
      <c r="D150" s="149">
        <v>95.0</v>
      </c>
      <c r="E150" s="135">
        <v>99.9</v>
      </c>
      <c r="F150" s="132">
        <v>95000.0</v>
      </c>
      <c r="G150" s="122" t="s">
        <v>37</v>
      </c>
      <c r="H150" s="18" t="s">
        <v>274</v>
      </c>
      <c r="I150" s="121">
        <v>38899.0</v>
      </c>
    </row>
    <row r="151">
      <c r="A151" s="37" t="s">
        <v>75</v>
      </c>
      <c r="B151" s="6" t="s">
        <v>76</v>
      </c>
      <c r="C151" s="117" t="s">
        <v>278</v>
      </c>
      <c r="D151" s="135">
        <v>100.0</v>
      </c>
      <c r="E151" s="135">
        <v>100.0</v>
      </c>
      <c r="F151" s="132">
        <v>100000.0</v>
      </c>
      <c r="G151" s="122" t="s">
        <v>37</v>
      </c>
      <c r="H151" s="18" t="s">
        <v>274</v>
      </c>
      <c r="I151" s="121">
        <v>38899.0</v>
      </c>
    </row>
    <row r="152">
      <c r="A152" s="124"/>
      <c r="B152" s="46"/>
      <c r="C152" s="125"/>
      <c r="D152" s="125"/>
      <c r="E152" s="126"/>
      <c r="F152" s="127"/>
      <c r="G152" s="126"/>
      <c r="H152" s="46"/>
      <c r="I152" s="128"/>
      <c r="J152" s="46"/>
      <c r="K152" s="46"/>
      <c r="L152" s="46"/>
      <c r="M152" s="46"/>
      <c r="N152" s="46"/>
      <c r="O152" s="46"/>
      <c r="P152" s="46"/>
      <c r="Q152" s="46"/>
      <c r="R152" s="46"/>
      <c r="S152" s="46"/>
      <c r="T152" s="46"/>
      <c r="U152" s="46"/>
      <c r="V152" s="46"/>
      <c r="W152" s="46"/>
      <c r="X152" s="46"/>
      <c r="Y152" s="46"/>
      <c r="Z152" s="46"/>
      <c r="AA152" s="46"/>
      <c r="AB152" s="46"/>
      <c r="AC152" s="46"/>
      <c r="AD152" s="46"/>
      <c r="AE152" s="46"/>
    </row>
    <row r="153">
      <c r="A153" s="37" t="s">
        <v>78</v>
      </c>
      <c r="B153" s="7" t="s">
        <v>79</v>
      </c>
      <c r="C153" s="117" t="s">
        <v>273</v>
      </c>
      <c r="D153" s="141">
        <v>0.0</v>
      </c>
      <c r="E153" s="141">
        <v>19.9</v>
      </c>
      <c r="F153" s="132">
        <v>15000.0</v>
      </c>
      <c r="G153" s="122" t="s">
        <v>37</v>
      </c>
      <c r="H153" s="18" t="s">
        <v>274</v>
      </c>
      <c r="I153" s="59" t="s">
        <v>240</v>
      </c>
      <c r="K153" s="6" t="s">
        <v>209</v>
      </c>
    </row>
    <row r="154">
      <c r="A154" s="37" t="s">
        <v>78</v>
      </c>
      <c r="B154" s="7" t="s">
        <v>79</v>
      </c>
      <c r="C154" s="141"/>
      <c r="D154" s="148">
        <v>20.0</v>
      </c>
      <c r="E154" s="141">
        <v>24.9</v>
      </c>
      <c r="F154" s="132">
        <v>20000.0</v>
      </c>
      <c r="G154" s="122" t="s">
        <v>37</v>
      </c>
      <c r="H154" s="18" t="s">
        <v>274</v>
      </c>
      <c r="I154" s="59" t="s">
        <v>240</v>
      </c>
      <c r="K154" s="6" t="s">
        <v>209</v>
      </c>
    </row>
    <row r="155">
      <c r="A155" s="37" t="s">
        <v>78</v>
      </c>
      <c r="B155" s="7" t="s">
        <v>79</v>
      </c>
      <c r="C155" s="141"/>
      <c r="D155" s="148">
        <v>25.0</v>
      </c>
      <c r="E155" s="141">
        <v>29.9</v>
      </c>
      <c r="F155" s="132">
        <v>25000.0</v>
      </c>
      <c r="G155" s="122" t="s">
        <v>37</v>
      </c>
      <c r="H155" s="18" t="s">
        <v>274</v>
      </c>
      <c r="I155" s="59" t="s">
        <v>240</v>
      </c>
      <c r="K155" s="6" t="s">
        <v>209</v>
      </c>
    </row>
    <row r="156">
      <c r="A156" s="37" t="s">
        <v>78</v>
      </c>
      <c r="B156" s="7" t="s">
        <v>79</v>
      </c>
      <c r="C156" s="141"/>
      <c r="D156" s="148">
        <v>30.0</v>
      </c>
      <c r="E156" s="141">
        <v>34.9</v>
      </c>
      <c r="F156" s="132">
        <v>30000.0</v>
      </c>
      <c r="G156" s="122" t="s">
        <v>37</v>
      </c>
      <c r="H156" s="18" t="s">
        <v>274</v>
      </c>
      <c r="I156" s="59" t="s">
        <v>240</v>
      </c>
      <c r="K156" s="6" t="s">
        <v>209</v>
      </c>
    </row>
    <row r="157">
      <c r="A157" s="37" t="s">
        <v>78</v>
      </c>
      <c r="B157" s="7" t="s">
        <v>79</v>
      </c>
      <c r="C157" s="141"/>
      <c r="D157" s="148">
        <v>35.0</v>
      </c>
      <c r="E157" s="141">
        <v>39.9</v>
      </c>
      <c r="F157" s="132">
        <v>35000.0</v>
      </c>
      <c r="G157" s="122" t="s">
        <v>37</v>
      </c>
      <c r="H157" s="18" t="s">
        <v>274</v>
      </c>
      <c r="I157" s="59" t="s">
        <v>240</v>
      </c>
      <c r="K157" s="6" t="s">
        <v>209</v>
      </c>
    </row>
    <row r="158">
      <c r="A158" s="37" t="s">
        <v>78</v>
      </c>
      <c r="B158" s="7" t="s">
        <v>79</v>
      </c>
      <c r="C158" s="142"/>
      <c r="D158" s="148">
        <v>40.0</v>
      </c>
      <c r="E158" s="141">
        <v>44.9</v>
      </c>
      <c r="F158" s="132">
        <v>40000.0</v>
      </c>
      <c r="G158" s="122" t="s">
        <v>37</v>
      </c>
      <c r="H158" s="18" t="s">
        <v>274</v>
      </c>
      <c r="I158" s="59" t="s">
        <v>240</v>
      </c>
      <c r="K158" s="6" t="s">
        <v>209</v>
      </c>
    </row>
    <row r="159">
      <c r="A159" s="37" t="s">
        <v>78</v>
      </c>
      <c r="B159" s="7" t="s">
        <v>79</v>
      </c>
      <c r="C159" s="141"/>
      <c r="D159" s="148">
        <v>45.0</v>
      </c>
      <c r="E159" s="141">
        <v>49.9</v>
      </c>
      <c r="F159" s="132">
        <v>45000.0</v>
      </c>
      <c r="G159" s="122" t="s">
        <v>37</v>
      </c>
      <c r="H159" s="18" t="s">
        <v>274</v>
      </c>
      <c r="I159" s="59" t="s">
        <v>240</v>
      </c>
      <c r="K159" s="6" t="s">
        <v>209</v>
      </c>
    </row>
    <row r="160">
      <c r="A160" s="37" t="s">
        <v>78</v>
      </c>
      <c r="B160" s="7" t="s">
        <v>79</v>
      </c>
      <c r="C160" s="142"/>
      <c r="D160" s="148">
        <v>50.0</v>
      </c>
      <c r="E160" s="141">
        <v>54.9</v>
      </c>
      <c r="F160" s="132">
        <v>50000.0</v>
      </c>
      <c r="G160" s="122" t="s">
        <v>37</v>
      </c>
      <c r="H160" s="18" t="s">
        <v>274</v>
      </c>
      <c r="I160" s="59" t="s">
        <v>240</v>
      </c>
      <c r="K160" s="6" t="s">
        <v>209</v>
      </c>
    </row>
    <row r="161">
      <c r="A161" s="37" t="s">
        <v>78</v>
      </c>
      <c r="B161" s="7" t="s">
        <v>79</v>
      </c>
      <c r="C161" s="141"/>
      <c r="D161" s="148">
        <v>55.0</v>
      </c>
      <c r="E161" s="141">
        <v>59.9</v>
      </c>
      <c r="F161" s="132">
        <v>55000.0</v>
      </c>
      <c r="G161" s="122" t="s">
        <v>37</v>
      </c>
      <c r="H161" s="18" t="s">
        <v>274</v>
      </c>
      <c r="I161" s="59" t="s">
        <v>240</v>
      </c>
      <c r="K161" s="6" t="s">
        <v>209</v>
      </c>
    </row>
    <row r="162">
      <c r="A162" s="37" t="s">
        <v>78</v>
      </c>
      <c r="B162" s="7" t="s">
        <v>79</v>
      </c>
      <c r="C162" s="141"/>
      <c r="D162" s="148">
        <v>60.0</v>
      </c>
      <c r="E162" s="141">
        <v>64.9</v>
      </c>
      <c r="F162" s="132">
        <v>60000.0</v>
      </c>
      <c r="G162" s="122" t="s">
        <v>37</v>
      </c>
      <c r="H162" s="18" t="s">
        <v>274</v>
      </c>
      <c r="I162" s="59" t="s">
        <v>240</v>
      </c>
      <c r="K162" s="6" t="s">
        <v>209</v>
      </c>
    </row>
    <row r="163">
      <c r="A163" s="37" t="s">
        <v>78</v>
      </c>
      <c r="B163" s="7" t="s">
        <v>79</v>
      </c>
      <c r="C163" s="141"/>
      <c r="D163" s="148">
        <v>65.0</v>
      </c>
      <c r="E163" s="141">
        <v>69.9</v>
      </c>
      <c r="F163" s="132">
        <v>65000.0</v>
      </c>
      <c r="G163" s="122" t="s">
        <v>37</v>
      </c>
      <c r="H163" s="18" t="s">
        <v>274</v>
      </c>
      <c r="I163" s="59" t="s">
        <v>240</v>
      </c>
      <c r="K163" s="6" t="s">
        <v>209</v>
      </c>
    </row>
    <row r="164">
      <c r="A164" s="37" t="s">
        <v>78</v>
      </c>
      <c r="B164" s="7" t="s">
        <v>79</v>
      </c>
      <c r="C164" s="141"/>
      <c r="D164" s="148">
        <v>70.0</v>
      </c>
      <c r="E164" s="141">
        <v>74.9</v>
      </c>
      <c r="F164" s="132">
        <v>70000.0</v>
      </c>
      <c r="G164" s="122" t="s">
        <v>37</v>
      </c>
      <c r="H164" s="18" t="s">
        <v>274</v>
      </c>
      <c r="I164" s="59" t="s">
        <v>240</v>
      </c>
      <c r="K164" s="6" t="s">
        <v>209</v>
      </c>
    </row>
    <row r="165">
      <c r="A165" s="37" t="s">
        <v>78</v>
      </c>
      <c r="B165" s="7" t="s">
        <v>79</v>
      </c>
      <c r="C165" s="141"/>
      <c r="D165" s="148">
        <v>75.0</v>
      </c>
      <c r="E165" s="141">
        <v>79.9</v>
      </c>
      <c r="F165" s="132">
        <v>75000.0</v>
      </c>
      <c r="G165" s="122" t="s">
        <v>37</v>
      </c>
      <c r="H165" s="18" t="s">
        <v>274</v>
      </c>
      <c r="I165" s="59" t="s">
        <v>240</v>
      </c>
      <c r="K165" s="6" t="s">
        <v>209</v>
      </c>
    </row>
    <row r="166">
      <c r="A166" s="37" t="s">
        <v>78</v>
      </c>
      <c r="B166" s="7" t="s">
        <v>79</v>
      </c>
      <c r="C166" s="141"/>
      <c r="D166" s="148">
        <v>80.0</v>
      </c>
      <c r="E166" s="141">
        <v>84.9</v>
      </c>
      <c r="F166" s="132">
        <v>80000.0</v>
      </c>
      <c r="G166" s="122" t="s">
        <v>37</v>
      </c>
      <c r="H166" s="18" t="s">
        <v>274</v>
      </c>
      <c r="I166" s="59" t="s">
        <v>240</v>
      </c>
      <c r="K166" s="6" t="s">
        <v>209</v>
      </c>
    </row>
    <row r="167">
      <c r="A167" s="37" t="s">
        <v>78</v>
      </c>
      <c r="B167" s="7" t="s">
        <v>79</v>
      </c>
      <c r="C167" s="141"/>
      <c r="D167" s="141">
        <v>85.0</v>
      </c>
      <c r="E167" s="141">
        <v>89.9</v>
      </c>
      <c r="F167" s="132">
        <v>85000.0</v>
      </c>
      <c r="G167" s="122" t="s">
        <v>37</v>
      </c>
      <c r="H167" s="18" t="s">
        <v>274</v>
      </c>
      <c r="I167" s="59" t="s">
        <v>240</v>
      </c>
      <c r="K167" s="6" t="s">
        <v>209</v>
      </c>
    </row>
    <row r="168">
      <c r="A168" s="37" t="s">
        <v>78</v>
      </c>
      <c r="B168" s="7" t="s">
        <v>79</v>
      </c>
      <c r="C168" s="141"/>
      <c r="D168" s="141">
        <v>90.0</v>
      </c>
      <c r="E168" s="141">
        <v>94.9</v>
      </c>
      <c r="F168" s="132">
        <v>90000.0</v>
      </c>
      <c r="G168" s="122" t="s">
        <v>37</v>
      </c>
      <c r="H168" s="18" t="s">
        <v>274</v>
      </c>
      <c r="I168" s="59" t="s">
        <v>240</v>
      </c>
      <c r="K168" s="6" t="s">
        <v>209</v>
      </c>
    </row>
    <row r="169">
      <c r="A169" s="37" t="s">
        <v>78</v>
      </c>
      <c r="B169" s="7" t="s">
        <v>79</v>
      </c>
      <c r="C169" s="135"/>
      <c r="D169" s="135">
        <v>95.0</v>
      </c>
      <c r="E169" s="135">
        <v>99.9</v>
      </c>
      <c r="F169" s="132">
        <v>95000.0</v>
      </c>
      <c r="G169" s="122" t="s">
        <v>37</v>
      </c>
      <c r="H169" s="18" t="s">
        <v>274</v>
      </c>
      <c r="I169" s="59" t="s">
        <v>240</v>
      </c>
      <c r="K169" s="6" t="s">
        <v>209</v>
      </c>
    </row>
    <row r="170">
      <c r="A170" s="37" t="s">
        <v>78</v>
      </c>
      <c r="B170" s="7" t="s">
        <v>79</v>
      </c>
      <c r="C170" s="117" t="s">
        <v>278</v>
      </c>
      <c r="D170" s="135">
        <v>100.0</v>
      </c>
      <c r="E170" s="135">
        <v>100.0</v>
      </c>
      <c r="F170" s="132">
        <v>100000.0</v>
      </c>
      <c r="G170" s="122" t="s">
        <v>37</v>
      </c>
      <c r="H170" s="18" t="s">
        <v>274</v>
      </c>
      <c r="I170" s="59" t="s">
        <v>240</v>
      </c>
      <c r="K170" s="6" t="s">
        <v>209</v>
      </c>
    </row>
    <row r="171">
      <c r="A171" s="124"/>
      <c r="B171" s="46"/>
      <c r="C171" s="125"/>
      <c r="D171" s="125"/>
      <c r="E171" s="126"/>
      <c r="F171" s="127"/>
      <c r="G171" s="126"/>
      <c r="H171" s="46"/>
      <c r="I171" s="128"/>
      <c r="J171" s="46"/>
      <c r="K171" s="46"/>
      <c r="L171" s="46"/>
      <c r="M171" s="46"/>
      <c r="N171" s="46"/>
      <c r="O171" s="46"/>
      <c r="P171" s="46"/>
      <c r="Q171" s="46"/>
      <c r="R171" s="46"/>
      <c r="S171" s="46"/>
      <c r="T171" s="46"/>
      <c r="U171" s="46"/>
      <c r="V171" s="46"/>
      <c r="W171" s="46"/>
      <c r="X171" s="46"/>
      <c r="Y171" s="46"/>
      <c r="Z171" s="46"/>
      <c r="AA171" s="46"/>
      <c r="AB171" s="46"/>
      <c r="AC171" s="46"/>
      <c r="AD171" s="46"/>
      <c r="AE171" s="46"/>
    </row>
    <row r="172">
      <c r="A172" s="37" t="s">
        <v>81</v>
      </c>
      <c r="B172" s="7" t="s">
        <v>82</v>
      </c>
      <c r="C172" s="117" t="s">
        <v>273</v>
      </c>
      <c r="D172" s="141">
        <v>0.0</v>
      </c>
      <c r="E172" s="141">
        <v>64.9</v>
      </c>
      <c r="F172" s="132">
        <v>100000.0</v>
      </c>
      <c r="G172" s="122" t="s">
        <v>37</v>
      </c>
      <c r="H172" s="18" t="s">
        <v>274</v>
      </c>
      <c r="I172" s="123" t="s">
        <v>239</v>
      </c>
    </row>
    <row r="173">
      <c r="A173" s="37" t="s">
        <v>81</v>
      </c>
      <c r="B173" s="7" t="s">
        <v>82</v>
      </c>
      <c r="C173" s="141"/>
      <c r="D173" s="141">
        <v>65.0</v>
      </c>
      <c r="E173" s="141">
        <v>69.9</v>
      </c>
      <c r="F173" s="132">
        <v>107500.0</v>
      </c>
      <c r="G173" s="122" t="s">
        <v>37</v>
      </c>
      <c r="H173" s="18" t="s">
        <v>274</v>
      </c>
      <c r="I173" s="123" t="s">
        <v>239</v>
      </c>
    </row>
    <row r="174">
      <c r="A174" s="37" t="s">
        <v>81</v>
      </c>
      <c r="B174" s="7" t="s">
        <v>82</v>
      </c>
      <c r="C174" s="141"/>
      <c r="D174" s="141">
        <v>70.0</v>
      </c>
      <c r="E174" s="141">
        <v>74.9</v>
      </c>
      <c r="F174" s="132">
        <v>115000.0</v>
      </c>
      <c r="G174" s="122" t="s">
        <v>37</v>
      </c>
      <c r="H174" s="18" t="s">
        <v>274</v>
      </c>
      <c r="I174" s="123" t="s">
        <v>239</v>
      </c>
    </row>
    <row r="175">
      <c r="A175" s="37" t="s">
        <v>81</v>
      </c>
      <c r="B175" s="7" t="s">
        <v>82</v>
      </c>
      <c r="C175" s="141"/>
      <c r="D175" s="141">
        <v>75.0</v>
      </c>
      <c r="E175" s="141">
        <v>79.9</v>
      </c>
      <c r="F175" s="132">
        <v>122500.0</v>
      </c>
      <c r="G175" s="122" t="s">
        <v>37</v>
      </c>
      <c r="H175" s="18" t="s">
        <v>274</v>
      </c>
      <c r="I175" s="123" t="s">
        <v>239</v>
      </c>
    </row>
    <row r="176">
      <c r="A176" s="37" t="s">
        <v>81</v>
      </c>
      <c r="B176" s="7" t="s">
        <v>82</v>
      </c>
      <c r="C176" s="141"/>
      <c r="D176" s="141">
        <v>80.0</v>
      </c>
      <c r="E176" s="141">
        <v>84.9</v>
      </c>
      <c r="F176" s="132">
        <v>130000.0</v>
      </c>
      <c r="G176" s="122" t="s">
        <v>37</v>
      </c>
      <c r="H176" s="18" t="s">
        <v>274</v>
      </c>
      <c r="I176" s="123" t="s">
        <v>239</v>
      </c>
    </row>
    <row r="177">
      <c r="A177" s="37" t="s">
        <v>81</v>
      </c>
      <c r="B177" s="7" t="s">
        <v>82</v>
      </c>
      <c r="C177" s="141"/>
      <c r="D177" s="141">
        <v>85.0</v>
      </c>
      <c r="E177" s="141">
        <v>89.9</v>
      </c>
      <c r="F177" s="132">
        <v>137500.0</v>
      </c>
      <c r="G177" s="122" t="s">
        <v>37</v>
      </c>
      <c r="H177" s="18" t="s">
        <v>274</v>
      </c>
      <c r="I177" s="123" t="s">
        <v>239</v>
      </c>
    </row>
    <row r="178">
      <c r="A178" s="37" t="s">
        <v>81</v>
      </c>
      <c r="B178" s="7" t="s">
        <v>82</v>
      </c>
      <c r="C178" s="141"/>
      <c r="D178" s="141">
        <v>90.0</v>
      </c>
      <c r="E178" s="141">
        <v>94.9</v>
      </c>
      <c r="F178" s="132">
        <v>145000.0</v>
      </c>
      <c r="G178" s="122" t="s">
        <v>37</v>
      </c>
      <c r="H178" s="18" t="s">
        <v>274</v>
      </c>
      <c r="I178" s="123" t="s">
        <v>239</v>
      </c>
    </row>
    <row r="179">
      <c r="A179" s="37" t="s">
        <v>81</v>
      </c>
      <c r="B179" s="7" t="s">
        <v>82</v>
      </c>
      <c r="C179" s="135"/>
      <c r="D179" s="135">
        <v>95.0</v>
      </c>
      <c r="E179" s="135">
        <v>99.9</v>
      </c>
      <c r="F179" s="132">
        <v>152500.0</v>
      </c>
      <c r="G179" s="122" t="s">
        <v>37</v>
      </c>
      <c r="H179" s="18" t="s">
        <v>274</v>
      </c>
      <c r="I179" s="123" t="s">
        <v>239</v>
      </c>
    </row>
    <row r="180">
      <c r="A180" s="37" t="s">
        <v>81</v>
      </c>
      <c r="B180" s="7" t="s">
        <v>82</v>
      </c>
      <c r="C180" s="117" t="s">
        <v>278</v>
      </c>
      <c r="D180" s="135">
        <v>100.0</v>
      </c>
      <c r="E180" s="135">
        <v>100.0</v>
      </c>
      <c r="F180" s="132">
        <v>160000.0</v>
      </c>
      <c r="G180" s="122" t="s">
        <v>37</v>
      </c>
      <c r="H180" s="18" t="s">
        <v>274</v>
      </c>
      <c r="I180" s="123" t="s">
        <v>239</v>
      </c>
    </row>
    <row r="181">
      <c r="A181" s="124"/>
      <c r="B181" s="46"/>
      <c r="C181" s="125"/>
      <c r="D181" s="125"/>
      <c r="E181" s="126"/>
      <c r="F181" s="127"/>
      <c r="G181" s="126"/>
      <c r="H181" s="46"/>
      <c r="I181" s="128"/>
      <c r="J181" s="46"/>
      <c r="K181" s="46"/>
      <c r="L181" s="46"/>
      <c r="M181" s="46"/>
      <c r="N181" s="46"/>
      <c r="O181" s="46"/>
      <c r="P181" s="46"/>
      <c r="Q181" s="46"/>
      <c r="R181" s="46"/>
      <c r="S181" s="46"/>
      <c r="T181" s="46"/>
      <c r="U181" s="46"/>
      <c r="V181" s="46"/>
      <c r="W181" s="46"/>
      <c r="X181" s="46"/>
      <c r="Y181" s="46"/>
      <c r="Z181" s="46"/>
      <c r="AA181" s="46"/>
      <c r="AB181" s="46"/>
      <c r="AC181" s="46"/>
      <c r="AD181" s="46"/>
      <c r="AE181" s="46"/>
    </row>
    <row r="182">
      <c r="A182" s="5" t="s">
        <v>84</v>
      </c>
      <c r="B182" s="7" t="s">
        <v>85</v>
      </c>
      <c r="C182" s="117" t="s">
        <v>273</v>
      </c>
      <c r="D182" s="141">
        <v>0.0</v>
      </c>
      <c r="E182" s="146"/>
      <c r="F182" s="132">
        <v>20000.0</v>
      </c>
      <c r="G182" s="122">
        <v>18000.0</v>
      </c>
      <c r="H182" s="18" t="s">
        <v>274</v>
      </c>
      <c r="I182" s="123" t="s">
        <v>238</v>
      </c>
    </row>
    <row r="183">
      <c r="A183" s="5" t="s">
        <v>84</v>
      </c>
      <c r="B183" s="7" t="s">
        <v>85</v>
      </c>
      <c r="C183" s="150"/>
      <c r="D183" s="150">
        <v>5.0</v>
      </c>
      <c r="E183" s="146"/>
      <c r="F183" s="132">
        <v>20000.0</v>
      </c>
      <c r="G183" s="122">
        <v>18000.0</v>
      </c>
      <c r="H183" s="18" t="s">
        <v>274</v>
      </c>
      <c r="I183" s="123" t="s">
        <v>238</v>
      </c>
    </row>
    <row r="184">
      <c r="A184" s="5" t="s">
        <v>84</v>
      </c>
      <c r="B184" s="7" t="s">
        <v>85</v>
      </c>
      <c r="C184" s="141"/>
      <c r="D184" s="148">
        <v>10.0</v>
      </c>
      <c r="E184" s="146"/>
      <c r="F184" s="132">
        <v>20000.0</v>
      </c>
      <c r="G184" s="122">
        <v>18000.0</v>
      </c>
      <c r="H184" s="18" t="s">
        <v>274</v>
      </c>
      <c r="I184" s="123" t="s">
        <v>238</v>
      </c>
    </row>
    <row r="185">
      <c r="A185" s="5" t="s">
        <v>84</v>
      </c>
      <c r="B185" s="7" t="s">
        <v>85</v>
      </c>
      <c r="C185" s="141"/>
      <c r="D185" s="148">
        <v>15.0</v>
      </c>
      <c r="E185" s="146"/>
      <c r="F185" s="132">
        <v>30000.0</v>
      </c>
      <c r="G185" s="122">
        <v>18000.0</v>
      </c>
      <c r="H185" s="18" t="s">
        <v>274</v>
      </c>
      <c r="I185" s="123" t="s">
        <v>238</v>
      </c>
    </row>
    <row r="186">
      <c r="A186" s="5" t="s">
        <v>84</v>
      </c>
      <c r="B186" s="7" t="s">
        <v>85</v>
      </c>
      <c r="C186" s="141"/>
      <c r="D186" s="148">
        <v>20.0</v>
      </c>
      <c r="E186" s="146"/>
      <c r="F186" s="132">
        <v>40000.0</v>
      </c>
      <c r="G186" s="122">
        <v>18000.0</v>
      </c>
      <c r="H186" s="18" t="s">
        <v>274</v>
      </c>
      <c r="I186" s="123" t="s">
        <v>238</v>
      </c>
    </row>
    <row r="187">
      <c r="A187" s="5" t="s">
        <v>84</v>
      </c>
      <c r="B187" s="7" t="s">
        <v>85</v>
      </c>
      <c r="C187" s="141"/>
      <c r="D187" s="148">
        <v>25.0</v>
      </c>
      <c r="E187" s="146"/>
      <c r="F187" s="132">
        <v>50000.0</v>
      </c>
      <c r="G187" s="122">
        <v>18000.0</v>
      </c>
      <c r="H187" s="18" t="s">
        <v>274</v>
      </c>
      <c r="I187" s="123" t="s">
        <v>238</v>
      </c>
    </row>
    <row r="188">
      <c r="A188" s="5" t="s">
        <v>84</v>
      </c>
      <c r="B188" s="7" t="s">
        <v>85</v>
      </c>
      <c r="C188" s="142"/>
      <c r="D188" s="148">
        <v>30.0</v>
      </c>
      <c r="E188" s="146"/>
      <c r="F188" s="132">
        <v>60000.0</v>
      </c>
      <c r="G188" s="122">
        <v>18000.0</v>
      </c>
      <c r="H188" s="18" t="s">
        <v>274</v>
      </c>
      <c r="I188" s="123" t="s">
        <v>238</v>
      </c>
    </row>
    <row r="189">
      <c r="A189" s="5" t="s">
        <v>84</v>
      </c>
      <c r="B189" s="7" t="s">
        <v>85</v>
      </c>
      <c r="C189" s="141"/>
      <c r="D189" s="148">
        <v>35.0</v>
      </c>
      <c r="E189" s="146"/>
      <c r="F189" s="132">
        <v>70000.0</v>
      </c>
      <c r="G189" s="122">
        <v>18000.0</v>
      </c>
      <c r="H189" s="18" t="s">
        <v>274</v>
      </c>
      <c r="I189" s="123" t="s">
        <v>238</v>
      </c>
    </row>
    <row r="190">
      <c r="A190" s="5" t="s">
        <v>84</v>
      </c>
      <c r="B190" s="7" t="s">
        <v>85</v>
      </c>
      <c r="C190" s="142"/>
      <c r="D190" s="148">
        <v>40.0</v>
      </c>
      <c r="E190" s="146"/>
      <c r="F190" s="132">
        <v>80000.0</v>
      </c>
      <c r="G190" s="122">
        <v>18000.0</v>
      </c>
      <c r="H190" s="18" t="s">
        <v>274</v>
      </c>
      <c r="I190" s="123" t="s">
        <v>238</v>
      </c>
    </row>
    <row r="191">
      <c r="A191" s="5" t="s">
        <v>84</v>
      </c>
      <c r="B191" s="7" t="s">
        <v>85</v>
      </c>
      <c r="C191" s="141"/>
      <c r="D191" s="148">
        <v>45.0</v>
      </c>
      <c r="E191" s="146"/>
      <c r="F191" s="132">
        <v>90000.0</v>
      </c>
      <c r="G191" s="122">
        <v>18000.0</v>
      </c>
      <c r="H191" s="18" t="s">
        <v>274</v>
      </c>
      <c r="I191" s="123" t="s">
        <v>238</v>
      </c>
    </row>
    <row r="192">
      <c r="A192" s="5" t="s">
        <v>84</v>
      </c>
      <c r="B192" s="7" t="s">
        <v>85</v>
      </c>
      <c r="C192" s="141"/>
      <c r="D192" s="148">
        <v>50.0</v>
      </c>
      <c r="E192" s="146"/>
      <c r="F192" s="132">
        <v>100000.0</v>
      </c>
      <c r="G192" s="122">
        <v>18000.0</v>
      </c>
      <c r="H192" s="18" t="s">
        <v>274</v>
      </c>
      <c r="I192" s="123" t="s">
        <v>238</v>
      </c>
    </row>
    <row r="193">
      <c r="A193" s="5" t="s">
        <v>84</v>
      </c>
      <c r="B193" s="7" t="s">
        <v>85</v>
      </c>
      <c r="C193" s="141"/>
      <c r="D193" s="148">
        <v>55.0</v>
      </c>
      <c r="E193" s="146"/>
      <c r="F193" s="132">
        <v>110000.0</v>
      </c>
      <c r="G193" s="122">
        <v>18000.0</v>
      </c>
      <c r="H193" s="18" t="s">
        <v>274</v>
      </c>
      <c r="I193" s="123" t="s">
        <v>238</v>
      </c>
    </row>
    <row r="194">
      <c r="A194" s="5" t="s">
        <v>84</v>
      </c>
      <c r="B194" s="7" t="s">
        <v>85</v>
      </c>
      <c r="C194" s="141"/>
      <c r="D194" s="148">
        <v>60.0</v>
      </c>
      <c r="E194" s="146"/>
      <c r="F194" s="132">
        <v>120000.0</v>
      </c>
      <c r="G194" s="122">
        <v>18000.0</v>
      </c>
      <c r="H194" s="18" t="s">
        <v>274</v>
      </c>
      <c r="I194" s="123" t="s">
        <v>238</v>
      </c>
    </row>
    <row r="195">
      <c r="A195" s="5" t="s">
        <v>84</v>
      </c>
      <c r="B195" s="7" t="s">
        <v>85</v>
      </c>
      <c r="C195" s="141"/>
      <c r="D195" s="148">
        <v>65.0</v>
      </c>
      <c r="E195" s="146"/>
      <c r="F195" s="132">
        <v>130000.0</v>
      </c>
      <c r="G195" s="122">
        <v>18000.0</v>
      </c>
      <c r="H195" s="18" t="s">
        <v>274</v>
      </c>
      <c r="I195" s="123" t="s">
        <v>238</v>
      </c>
    </row>
    <row r="196">
      <c r="A196" s="5" t="s">
        <v>84</v>
      </c>
      <c r="B196" s="7" t="s">
        <v>85</v>
      </c>
      <c r="C196" s="141"/>
      <c r="D196" s="148">
        <v>70.0</v>
      </c>
      <c r="E196" s="146"/>
      <c r="F196" s="132">
        <v>140000.0</v>
      </c>
      <c r="G196" s="122">
        <v>18000.0</v>
      </c>
      <c r="H196" s="18" t="s">
        <v>274</v>
      </c>
      <c r="I196" s="123" t="s">
        <v>238</v>
      </c>
    </row>
    <row r="197">
      <c r="A197" s="5" t="s">
        <v>84</v>
      </c>
      <c r="B197" s="7" t="s">
        <v>85</v>
      </c>
      <c r="C197" s="141"/>
      <c r="D197" s="148">
        <v>75.0</v>
      </c>
      <c r="E197" s="146"/>
      <c r="F197" s="132">
        <v>150000.0</v>
      </c>
      <c r="G197" s="122">
        <v>18000.0</v>
      </c>
      <c r="H197" s="18" t="s">
        <v>274</v>
      </c>
      <c r="I197" s="123" t="s">
        <v>238</v>
      </c>
    </row>
    <row r="198">
      <c r="A198" s="5" t="s">
        <v>84</v>
      </c>
      <c r="B198" s="7" t="s">
        <v>85</v>
      </c>
      <c r="C198" s="141"/>
      <c r="D198" s="148">
        <v>80.0</v>
      </c>
      <c r="E198" s="146"/>
      <c r="F198" s="132">
        <v>160000.0</v>
      </c>
      <c r="G198" s="122">
        <v>18000.0</v>
      </c>
      <c r="H198" s="18" t="s">
        <v>274</v>
      </c>
      <c r="I198" s="123" t="s">
        <v>238</v>
      </c>
    </row>
    <row r="199">
      <c r="A199" s="5" t="s">
        <v>84</v>
      </c>
      <c r="B199" s="7" t="s">
        <v>85</v>
      </c>
      <c r="C199" s="135"/>
      <c r="D199" s="149">
        <v>85.0</v>
      </c>
      <c r="E199" s="146"/>
      <c r="F199" s="132">
        <v>170000.0</v>
      </c>
      <c r="G199" s="122">
        <v>18000.0</v>
      </c>
      <c r="H199" s="18" t="s">
        <v>274</v>
      </c>
      <c r="I199" s="123" t="s">
        <v>238</v>
      </c>
    </row>
    <row r="200">
      <c r="A200" s="5" t="s">
        <v>84</v>
      </c>
      <c r="B200" s="7" t="s">
        <v>85</v>
      </c>
      <c r="C200" s="135"/>
      <c r="D200" s="149">
        <v>90.0</v>
      </c>
      <c r="E200" s="146"/>
      <c r="F200" s="132">
        <v>180000.0</v>
      </c>
      <c r="G200" s="122">
        <v>18000.0</v>
      </c>
      <c r="H200" s="18" t="s">
        <v>274</v>
      </c>
      <c r="I200" s="123" t="s">
        <v>238</v>
      </c>
    </row>
    <row r="201">
      <c r="A201" s="5" t="s">
        <v>84</v>
      </c>
      <c r="B201" s="7" t="s">
        <v>85</v>
      </c>
      <c r="C201" s="135"/>
      <c r="D201" s="149">
        <v>95.0</v>
      </c>
      <c r="E201" s="146"/>
      <c r="F201" s="132">
        <v>190000.0</v>
      </c>
      <c r="G201" s="122">
        <v>18000.0</v>
      </c>
      <c r="H201" s="18" t="s">
        <v>274</v>
      </c>
      <c r="I201" s="123" t="s">
        <v>238</v>
      </c>
    </row>
    <row r="202">
      <c r="A202" s="5" t="s">
        <v>84</v>
      </c>
      <c r="B202" s="7" t="s">
        <v>85</v>
      </c>
      <c r="C202" s="117" t="s">
        <v>278</v>
      </c>
      <c r="D202" s="149">
        <v>100.0</v>
      </c>
      <c r="E202" s="146"/>
      <c r="F202" s="132">
        <v>200000.0</v>
      </c>
      <c r="G202" s="122">
        <v>18000.0</v>
      </c>
      <c r="H202" s="18" t="s">
        <v>274</v>
      </c>
      <c r="I202" s="123" t="s">
        <v>238</v>
      </c>
    </row>
    <row r="203">
      <c r="A203" s="124"/>
      <c r="B203" s="46"/>
      <c r="C203" s="125"/>
      <c r="D203" s="125"/>
      <c r="E203" s="126"/>
      <c r="F203" s="127"/>
      <c r="G203" s="126"/>
      <c r="H203" s="46"/>
      <c r="I203" s="128"/>
      <c r="J203" s="46"/>
      <c r="K203" s="46"/>
      <c r="L203" s="46"/>
      <c r="M203" s="46"/>
      <c r="N203" s="46"/>
      <c r="O203" s="46"/>
      <c r="P203" s="46"/>
      <c r="Q203" s="46"/>
      <c r="R203" s="46"/>
      <c r="S203" s="46"/>
      <c r="T203" s="46"/>
      <c r="U203" s="46"/>
      <c r="V203" s="46"/>
      <c r="W203" s="46"/>
      <c r="X203" s="46"/>
      <c r="Y203" s="46"/>
      <c r="Z203" s="46"/>
      <c r="AA203" s="46"/>
      <c r="AB203" s="46"/>
      <c r="AC203" s="46"/>
      <c r="AD203" s="46"/>
      <c r="AE203" s="46"/>
    </row>
    <row r="204">
      <c r="A204" s="5" t="s">
        <v>95</v>
      </c>
      <c r="B204" s="7" t="s">
        <v>96</v>
      </c>
      <c r="C204" s="117" t="s">
        <v>273</v>
      </c>
      <c r="D204" s="139">
        <v>0.0</v>
      </c>
      <c r="E204" s="122">
        <v>9.9</v>
      </c>
      <c r="F204" s="95">
        <v>20000.0</v>
      </c>
      <c r="G204" s="122" t="s">
        <v>37</v>
      </c>
      <c r="H204" s="18" t="s">
        <v>274</v>
      </c>
      <c r="I204" s="123" t="s">
        <v>236</v>
      </c>
    </row>
    <row r="205">
      <c r="A205" s="5" t="s">
        <v>95</v>
      </c>
      <c r="B205" s="7" t="s">
        <v>96</v>
      </c>
      <c r="C205" s="139"/>
      <c r="D205" s="139">
        <v>10.0</v>
      </c>
      <c r="E205" s="122">
        <v>14.9</v>
      </c>
      <c r="F205" s="95">
        <v>40000.0</v>
      </c>
      <c r="G205" s="122" t="s">
        <v>37</v>
      </c>
      <c r="H205" s="18" t="s">
        <v>274</v>
      </c>
      <c r="I205" s="123" t="s">
        <v>236</v>
      </c>
    </row>
    <row r="206">
      <c r="A206" s="5" t="s">
        <v>95</v>
      </c>
      <c r="B206" s="7" t="s">
        <v>96</v>
      </c>
      <c r="C206" s="139"/>
      <c r="D206" s="139">
        <v>15.0</v>
      </c>
      <c r="E206" s="122">
        <v>19.9</v>
      </c>
      <c r="F206" s="95">
        <v>60000.0</v>
      </c>
      <c r="G206" s="122" t="s">
        <v>37</v>
      </c>
      <c r="H206" s="18" t="s">
        <v>274</v>
      </c>
      <c r="I206" s="123" t="s">
        <v>236</v>
      </c>
    </row>
    <row r="207">
      <c r="A207" s="5" t="s">
        <v>95</v>
      </c>
      <c r="B207" s="7" t="s">
        <v>96</v>
      </c>
      <c r="C207" s="139"/>
      <c r="D207" s="139">
        <v>20.0</v>
      </c>
      <c r="E207" s="122">
        <v>24.9</v>
      </c>
      <c r="F207" s="95">
        <v>80000.0</v>
      </c>
      <c r="G207" s="122" t="s">
        <v>37</v>
      </c>
      <c r="H207" s="18" t="s">
        <v>274</v>
      </c>
      <c r="I207" s="123" t="s">
        <v>236</v>
      </c>
    </row>
    <row r="208">
      <c r="A208" s="5" t="s">
        <v>95</v>
      </c>
      <c r="B208" s="7" t="s">
        <v>96</v>
      </c>
      <c r="C208" s="139"/>
      <c r="D208" s="139">
        <v>25.0</v>
      </c>
      <c r="E208" s="122">
        <v>29.9</v>
      </c>
      <c r="F208" s="95">
        <v>100000.0</v>
      </c>
      <c r="G208" s="122" t="s">
        <v>37</v>
      </c>
      <c r="H208" s="18" t="s">
        <v>274</v>
      </c>
      <c r="I208" s="123" t="s">
        <v>236</v>
      </c>
    </row>
    <row r="209">
      <c r="A209" s="5" t="s">
        <v>95</v>
      </c>
      <c r="B209" s="7" t="s">
        <v>96</v>
      </c>
      <c r="C209" s="139"/>
      <c r="D209" s="139">
        <v>30.0</v>
      </c>
      <c r="E209" s="122">
        <v>34.9</v>
      </c>
      <c r="F209" s="95">
        <v>120000.0</v>
      </c>
      <c r="G209" s="122" t="s">
        <v>37</v>
      </c>
      <c r="H209" s="18" t="s">
        <v>274</v>
      </c>
      <c r="I209" s="123" t="s">
        <v>236</v>
      </c>
    </row>
    <row r="210">
      <c r="A210" s="5" t="s">
        <v>95</v>
      </c>
      <c r="B210" s="7" t="s">
        <v>96</v>
      </c>
      <c r="C210" s="139"/>
      <c r="D210" s="139">
        <v>35.0</v>
      </c>
      <c r="E210" s="122">
        <v>39.9</v>
      </c>
      <c r="F210" s="95">
        <v>140000.0</v>
      </c>
      <c r="G210" s="122" t="s">
        <v>37</v>
      </c>
      <c r="H210" s="18" t="s">
        <v>274</v>
      </c>
      <c r="I210" s="123" t="s">
        <v>236</v>
      </c>
    </row>
    <row r="211">
      <c r="A211" s="5" t="s">
        <v>95</v>
      </c>
      <c r="B211" s="7" t="s">
        <v>96</v>
      </c>
      <c r="C211" s="139"/>
      <c r="D211" s="139">
        <v>40.0</v>
      </c>
      <c r="E211" s="122">
        <v>44.9</v>
      </c>
      <c r="F211" s="95">
        <v>160000.0</v>
      </c>
      <c r="G211" s="122" t="s">
        <v>37</v>
      </c>
      <c r="H211" s="18" t="s">
        <v>274</v>
      </c>
      <c r="I211" s="123" t="s">
        <v>236</v>
      </c>
    </row>
    <row r="212">
      <c r="A212" s="5" t="s">
        <v>95</v>
      </c>
      <c r="B212" s="7" t="s">
        <v>96</v>
      </c>
      <c r="C212" s="139"/>
      <c r="D212" s="139">
        <v>45.0</v>
      </c>
      <c r="E212" s="122">
        <v>49.9</v>
      </c>
      <c r="F212" s="95">
        <v>180000.0</v>
      </c>
      <c r="G212" s="122" t="s">
        <v>37</v>
      </c>
      <c r="H212" s="18" t="s">
        <v>274</v>
      </c>
      <c r="I212" s="123" t="s">
        <v>236</v>
      </c>
    </row>
    <row r="213">
      <c r="A213" s="5" t="s">
        <v>95</v>
      </c>
      <c r="B213" s="7" t="s">
        <v>96</v>
      </c>
      <c r="C213" s="139"/>
      <c r="D213" s="139">
        <v>50.0</v>
      </c>
      <c r="E213" s="122">
        <v>54.9</v>
      </c>
      <c r="F213" s="95">
        <v>200000.0</v>
      </c>
      <c r="G213" s="122" t="s">
        <v>37</v>
      </c>
      <c r="H213" s="18" t="s">
        <v>274</v>
      </c>
      <c r="I213" s="123" t="s">
        <v>236</v>
      </c>
    </row>
    <row r="214">
      <c r="A214" s="5" t="s">
        <v>95</v>
      </c>
      <c r="B214" s="7" t="s">
        <v>96</v>
      </c>
      <c r="C214" s="139"/>
      <c r="D214" s="139">
        <v>55.0</v>
      </c>
      <c r="E214" s="122">
        <v>59.9</v>
      </c>
      <c r="F214" s="95">
        <v>220000.0</v>
      </c>
      <c r="G214" s="122" t="s">
        <v>37</v>
      </c>
      <c r="H214" s="18" t="s">
        <v>274</v>
      </c>
      <c r="I214" s="123" t="s">
        <v>236</v>
      </c>
    </row>
    <row r="215">
      <c r="A215" s="5" t="s">
        <v>95</v>
      </c>
      <c r="B215" s="7" t="s">
        <v>96</v>
      </c>
      <c r="C215" s="139"/>
      <c r="D215" s="139">
        <v>60.0</v>
      </c>
      <c r="E215" s="122">
        <v>64.9</v>
      </c>
      <c r="F215" s="95">
        <v>240000.0</v>
      </c>
      <c r="G215" s="122" t="s">
        <v>37</v>
      </c>
      <c r="H215" s="18" t="s">
        <v>274</v>
      </c>
      <c r="I215" s="123" t="s">
        <v>236</v>
      </c>
    </row>
    <row r="216">
      <c r="A216" s="5" t="s">
        <v>95</v>
      </c>
      <c r="B216" s="7" t="s">
        <v>96</v>
      </c>
      <c r="C216" s="139"/>
      <c r="D216" s="139">
        <v>65.0</v>
      </c>
      <c r="E216" s="122">
        <v>69.9</v>
      </c>
      <c r="F216" s="95">
        <v>260000.0</v>
      </c>
      <c r="G216" s="122" t="s">
        <v>37</v>
      </c>
      <c r="H216" s="18" t="s">
        <v>274</v>
      </c>
      <c r="I216" s="123" t="s">
        <v>236</v>
      </c>
    </row>
    <row r="217">
      <c r="A217" s="5" t="s">
        <v>95</v>
      </c>
      <c r="B217" s="7" t="s">
        <v>96</v>
      </c>
      <c r="C217" s="139"/>
      <c r="D217" s="139">
        <v>70.0</v>
      </c>
      <c r="E217" s="122">
        <v>74.9</v>
      </c>
      <c r="F217" s="95">
        <v>280000.0</v>
      </c>
      <c r="G217" s="122" t="s">
        <v>37</v>
      </c>
      <c r="H217" s="18" t="s">
        <v>274</v>
      </c>
      <c r="I217" s="123" t="s">
        <v>236</v>
      </c>
    </row>
    <row r="218">
      <c r="A218" s="5" t="s">
        <v>95</v>
      </c>
      <c r="B218" s="7" t="s">
        <v>96</v>
      </c>
      <c r="C218" s="139"/>
      <c r="D218" s="139">
        <v>75.0</v>
      </c>
      <c r="E218" s="122">
        <v>79.9</v>
      </c>
      <c r="F218" s="95">
        <v>300000.0</v>
      </c>
      <c r="G218" s="122" t="s">
        <v>37</v>
      </c>
      <c r="H218" s="18" t="s">
        <v>274</v>
      </c>
      <c r="I218" s="123" t="s">
        <v>236</v>
      </c>
    </row>
    <row r="219">
      <c r="A219" s="5" t="s">
        <v>95</v>
      </c>
      <c r="B219" s="7" t="s">
        <v>96</v>
      </c>
      <c r="C219" s="139"/>
      <c r="D219" s="139">
        <v>80.0</v>
      </c>
      <c r="E219" s="122">
        <v>84.9</v>
      </c>
      <c r="F219" s="95">
        <v>320000.0</v>
      </c>
      <c r="G219" s="122" t="s">
        <v>37</v>
      </c>
      <c r="H219" s="18" t="s">
        <v>274</v>
      </c>
      <c r="I219" s="123" t="s">
        <v>236</v>
      </c>
    </row>
    <row r="220">
      <c r="A220" s="5" t="s">
        <v>95</v>
      </c>
      <c r="B220" s="7" t="s">
        <v>96</v>
      </c>
      <c r="C220" s="139"/>
      <c r="D220" s="139">
        <v>85.0</v>
      </c>
      <c r="E220" s="122">
        <v>89.9</v>
      </c>
      <c r="F220" s="95">
        <v>340000.0</v>
      </c>
      <c r="G220" s="122" t="s">
        <v>37</v>
      </c>
      <c r="H220" s="18" t="s">
        <v>274</v>
      </c>
      <c r="I220" s="123" t="s">
        <v>236</v>
      </c>
    </row>
    <row r="221">
      <c r="A221" s="5" t="s">
        <v>95</v>
      </c>
      <c r="B221" s="7" t="s">
        <v>96</v>
      </c>
      <c r="C221" s="139"/>
      <c r="D221" s="139">
        <v>90.0</v>
      </c>
      <c r="E221" s="122">
        <v>94.9</v>
      </c>
      <c r="F221" s="95">
        <v>360000.0</v>
      </c>
      <c r="G221" s="122" t="s">
        <v>37</v>
      </c>
      <c r="H221" s="18" t="s">
        <v>274</v>
      </c>
      <c r="I221" s="123" t="s">
        <v>236</v>
      </c>
    </row>
    <row r="222">
      <c r="A222" s="5" t="s">
        <v>95</v>
      </c>
      <c r="B222" s="7" t="s">
        <v>96</v>
      </c>
      <c r="C222" s="139"/>
      <c r="D222" s="139">
        <v>95.0</v>
      </c>
      <c r="E222" s="122">
        <v>99.9</v>
      </c>
      <c r="F222" s="95">
        <v>380000.0</v>
      </c>
      <c r="G222" s="122" t="s">
        <v>37</v>
      </c>
      <c r="H222" s="18" t="s">
        <v>274</v>
      </c>
      <c r="I222" s="123" t="s">
        <v>236</v>
      </c>
    </row>
    <row r="223">
      <c r="A223" s="5" t="s">
        <v>95</v>
      </c>
      <c r="B223" s="7" t="s">
        <v>96</v>
      </c>
      <c r="C223" s="117" t="s">
        <v>278</v>
      </c>
      <c r="D223" s="139">
        <v>100.0</v>
      </c>
      <c r="E223" s="139">
        <v>100.0</v>
      </c>
      <c r="F223" s="95">
        <v>400000.0</v>
      </c>
      <c r="G223" s="122" t="s">
        <v>37</v>
      </c>
      <c r="H223" s="18" t="s">
        <v>274</v>
      </c>
      <c r="I223" s="123" t="s">
        <v>236</v>
      </c>
    </row>
    <row r="224">
      <c r="A224" s="124"/>
      <c r="B224" s="46"/>
      <c r="C224" s="125"/>
      <c r="D224" s="125"/>
      <c r="E224" s="126"/>
      <c r="F224" s="127"/>
      <c r="G224" s="126"/>
      <c r="H224" s="46"/>
      <c r="I224" s="128"/>
      <c r="J224" s="46"/>
      <c r="K224" s="46"/>
      <c r="L224" s="46"/>
      <c r="M224" s="46"/>
      <c r="N224" s="46"/>
      <c r="O224" s="46"/>
      <c r="P224" s="46"/>
      <c r="Q224" s="46"/>
      <c r="R224" s="46"/>
      <c r="S224" s="46"/>
      <c r="T224" s="46"/>
      <c r="U224" s="46"/>
      <c r="V224" s="46"/>
      <c r="W224" s="46"/>
      <c r="X224" s="46"/>
      <c r="Y224" s="46"/>
      <c r="Z224" s="46"/>
      <c r="AA224" s="46"/>
      <c r="AB224" s="46"/>
      <c r="AC224" s="46"/>
      <c r="AD224" s="46"/>
      <c r="AE224" s="46"/>
    </row>
    <row r="225">
      <c r="A225" s="37" t="s">
        <v>167</v>
      </c>
      <c r="B225" s="6" t="s">
        <v>168</v>
      </c>
      <c r="C225" s="117" t="s">
        <v>273</v>
      </c>
      <c r="D225" s="139">
        <v>0.0</v>
      </c>
      <c r="E225" s="122">
        <v>19.0</v>
      </c>
      <c r="F225" s="95">
        <v>37500.0</v>
      </c>
      <c r="G225" s="122">
        <v>18000.0</v>
      </c>
      <c r="H225" s="18" t="s">
        <v>274</v>
      </c>
      <c r="I225" s="123">
        <v>2008.0</v>
      </c>
      <c r="K225" s="29" t="s">
        <v>290</v>
      </c>
    </row>
    <row r="226">
      <c r="A226" s="37" t="s">
        <v>167</v>
      </c>
      <c r="B226" s="6" t="s">
        <v>168</v>
      </c>
      <c r="C226" s="139"/>
      <c r="D226" s="139">
        <v>20.0</v>
      </c>
      <c r="E226" s="122">
        <v>29.0</v>
      </c>
      <c r="F226" s="95">
        <v>90000.0</v>
      </c>
      <c r="G226" s="122">
        <v>18000.0</v>
      </c>
      <c r="H226" s="18" t="s">
        <v>274</v>
      </c>
      <c r="I226" s="123">
        <v>2008.0</v>
      </c>
      <c r="K226" s="29" t="s">
        <v>290</v>
      </c>
    </row>
    <row r="227">
      <c r="A227" s="37" t="s">
        <v>167</v>
      </c>
      <c r="B227" s="6" t="s">
        <v>168</v>
      </c>
      <c r="C227" s="139"/>
      <c r="D227" s="139">
        <v>30.0</v>
      </c>
      <c r="E227" s="122">
        <v>39.0</v>
      </c>
      <c r="F227" s="95">
        <v>130000.0</v>
      </c>
      <c r="G227" s="122">
        <v>18000.0</v>
      </c>
      <c r="H227" s="18" t="s">
        <v>274</v>
      </c>
      <c r="I227" s="123">
        <v>2008.0</v>
      </c>
      <c r="K227" s="29" t="s">
        <v>290</v>
      </c>
    </row>
    <row r="228">
      <c r="A228" s="37" t="s">
        <v>167</v>
      </c>
      <c r="B228" s="6" t="s">
        <v>168</v>
      </c>
      <c r="C228" s="139"/>
      <c r="D228" s="139">
        <v>40.0</v>
      </c>
      <c r="E228" s="122">
        <v>49.0</v>
      </c>
      <c r="F228" s="95">
        <v>170000.0</v>
      </c>
      <c r="G228" s="122">
        <v>18000.0</v>
      </c>
      <c r="H228" s="18" t="s">
        <v>274</v>
      </c>
      <c r="I228" s="123">
        <v>2008.0</v>
      </c>
      <c r="K228" s="29" t="s">
        <v>290</v>
      </c>
    </row>
    <row r="229">
      <c r="A229" s="37" t="s">
        <v>167</v>
      </c>
      <c r="B229" s="6" t="s">
        <v>168</v>
      </c>
      <c r="C229" s="139"/>
      <c r="D229" s="139">
        <v>50.0</v>
      </c>
      <c r="E229" s="122">
        <v>59.0</v>
      </c>
      <c r="F229" s="95">
        <v>200000.0</v>
      </c>
      <c r="G229" s="122">
        <v>18000.0</v>
      </c>
      <c r="H229" s="18" t="s">
        <v>274</v>
      </c>
      <c r="I229" s="123">
        <v>2008.0</v>
      </c>
      <c r="K229" s="29" t="s">
        <v>290</v>
      </c>
    </row>
    <row r="230">
      <c r="A230" s="37" t="s">
        <v>167</v>
      </c>
      <c r="B230" s="6" t="s">
        <v>168</v>
      </c>
      <c r="C230" s="139"/>
      <c r="D230" s="139">
        <v>60.0</v>
      </c>
      <c r="E230" s="122">
        <v>69.0</v>
      </c>
      <c r="F230" s="95">
        <v>265000.0</v>
      </c>
      <c r="G230" s="122">
        <v>18000.0</v>
      </c>
      <c r="H230" s="18" t="s">
        <v>274</v>
      </c>
      <c r="I230" s="123">
        <v>2008.0</v>
      </c>
      <c r="K230" s="29" t="s">
        <v>290</v>
      </c>
    </row>
    <row r="231">
      <c r="A231" s="37" t="s">
        <v>167</v>
      </c>
      <c r="B231" s="6" t="s">
        <v>168</v>
      </c>
      <c r="C231" s="117" t="s">
        <v>278</v>
      </c>
      <c r="D231" s="139">
        <v>70.0</v>
      </c>
      <c r="E231" s="122">
        <v>100.0</v>
      </c>
      <c r="F231" s="95">
        <v>330000.0</v>
      </c>
      <c r="G231" s="122">
        <v>18000.0</v>
      </c>
      <c r="H231" s="18" t="s">
        <v>274</v>
      </c>
      <c r="I231" s="123">
        <v>2008.0</v>
      </c>
      <c r="K231" s="29" t="s">
        <v>290</v>
      </c>
    </row>
    <row r="232">
      <c r="A232" s="124"/>
      <c r="B232" s="46"/>
      <c r="C232" s="125"/>
      <c r="D232" s="125"/>
      <c r="E232" s="126"/>
      <c r="F232" s="127"/>
      <c r="G232" s="126"/>
      <c r="H232" s="46"/>
      <c r="I232" s="128"/>
      <c r="J232" s="46"/>
      <c r="K232" s="46"/>
      <c r="L232" s="46"/>
      <c r="M232" s="46"/>
      <c r="N232" s="46"/>
      <c r="O232" s="46"/>
      <c r="P232" s="46"/>
      <c r="Q232" s="46"/>
      <c r="R232" s="46"/>
      <c r="S232" s="46"/>
      <c r="T232" s="46"/>
      <c r="U232" s="46"/>
      <c r="V232" s="46"/>
      <c r="W232" s="46"/>
      <c r="X232" s="46"/>
      <c r="Y232" s="46"/>
      <c r="Z232" s="46"/>
      <c r="AA232" s="46"/>
      <c r="AB232" s="46"/>
      <c r="AC232" s="46"/>
      <c r="AD232" s="46"/>
      <c r="AE232" s="46"/>
    </row>
    <row r="233">
      <c r="A233" s="41" t="s">
        <v>171</v>
      </c>
      <c r="B233" s="11" t="s">
        <v>172</v>
      </c>
      <c r="C233" s="117" t="s">
        <v>273</v>
      </c>
      <c r="D233" s="141">
        <v>0.0</v>
      </c>
      <c r="E233" s="151"/>
      <c r="F233" s="73">
        <v>15000.0</v>
      </c>
      <c r="G233" s="122" t="s">
        <v>37</v>
      </c>
      <c r="H233" s="18" t="s">
        <v>274</v>
      </c>
      <c r="I233" s="123">
        <v>2014.0</v>
      </c>
      <c r="K233" s="29" t="s">
        <v>291</v>
      </c>
    </row>
    <row r="234">
      <c r="A234" s="41" t="s">
        <v>171</v>
      </c>
      <c r="B234" s="11" t="s">
        <v>172</v>
      </c>
      <c r="C234" s="139"/>
      <c r="D234" s="150">
        <v>5.0</v>
      </c>
      <c r="E234" s="151"/>
      <c r="F234" s="73">
        <v>20000.0</v>
      </c>
      <c r="G234" s="122" t="s">
        <v>37</v>
      </c>
      <c r="H234" s="18" t="s">
        <v>274</v>
      </c>
      <c r="I234" s="123">
        <v>2014.0</v>
      </c>
      <c r="K234" s="29" t="s">
        <v>291</v>
      </c>
    </row>
    <row r="235">
      <c r="A235" s="41" t="s">
        <v>171</v>
      </c>
      <c r="B235" s="11" t="s">
        <v>172</v>
      </c>
      <c r="C235" s="139"/>
      <c r="D235" s="141">
        <v>10.0</v>
      </c>
      <c r="E235" s="151"/>
      <c r="F235" s="73">
        <v>35000.0</v>
      </c>
      <c r="G235" s="122" t="s">
        <v>37</v>
      </c>
      <c r="H235" s="18" t="s">
        <v>274</v>
      </c>
      <c r="I235" s="123">
        <v>2014.0</v>
      </c>
      <c r="K235" s="29" t="s">
        <v>291</v>
      </c>
    </row>
    <row r="236">
      <c r="A236" s="41" t="s">
        <v>171</v>
      </c>
      <c r="B236" s="11" t="s">
        <v>172</v>
      </c>
      <c r="C236" s="139"/>
      <c r="D236" s="141">
        <v>15.0</v>
      </c>
      <c r="E236" s="151"/>
      <c r="F236" s="73">
        <v>50000.0</v>
      </c>
      <c r="G236" s="122" t="s">
        <v>37</v>
      </c>
      <c r="H236" s="18" t="s">
        <v>274</v>
      </c>
      <c r="I236" s="123">
        <v>2014.0</v>
      </c>
      <c r="K236" s="29" t="s">
        <v>291</v>
      </c>
    </row>
    <row r="237">
      <c r="A237" s="41" t="s">
        <v>171</v>
      </c>
      <c r="B237" s="11" t="s">
        <v>172</v>
      </c>
      <c r="C237" s="139"/>
      <c r="D237" s="141">
        <v>20.0</v>
      </c>
      <c r="E237" s="151"/>
      <c r="F237" s="73">
        <v>65000.0</v>
      </c>
      <c r="G237" s="122" t="s">
        <v>37</v>
      </c>
      <c r="H237" s="18" t="s">
        <v>274</v>
      </c>
      <c r="I237" s="123">
        <v>2014.0</v>
      </c>
      <c r="K237" s="29" t="s">
        <v>291</v>
      </c>
    </row>
    <row r="238">
      <c r="A238" s="41" t="s">
        <v>171</v>
      </c>
      <c r="B238" s="11" t="s">
        <v>172</v>
      </c>
      <c r="C238" s="139"/>
      <c r="D238" s="141">
        <v>25.0</v>
      </c>
      <c r="E238" s="151"/>
      <c r="F238" s="73">
        <v>80000.0</v>
      </c>
      <c r="G238" s="122" t="s">
        <v>37</v>
      </c>
      <c r="H238" s="18" t="s">
        <v>274</v>
      </c>
      <c r="I238" s="123">
        <v>2014.0</v>
      </c>
      <c r="K238" s="29" t="s">
        <v>291</v>
      </c>
    </row>
    <row r="239">
      <c r="A239" s="41" t="s">
        <v>171</v>
      </c>
      <c r="B239" s="11" t="s">
        <v>172</v>
      </c>
      <c r="C239" s="139"/>
      <c r="D239" s="142">
        <v>30.0</v>
      </c>
      <c r="E239" s="151"/>
      <c r="F239" s="73">
        <v>95000.0</v>
      </c>
      <c r="G239" s="122" t="s">
        <v>37</v>
      </c>
      <c r="H239" s="18" t="s">
        <v>274</v>
      </c>
      <c r="I239" s="123">
        <v>2014.0</v>
      </c>
      <c r="K239" s="29" t="s">
        <v>291</v>
      </c>
    </row>
    <row r="240">
      <c r="A240" s="41" t="s">
        <v>171</v>
      </c>
      <c r="B240" s="11" t="s">
        <v>172</v>
      </c>
      <c r="C240" s="139"/>
      <c r="D240" s="141">
        <v>35.0</v>
      </c>
      <c r="E240" s="151"/>
      <c r="F240" s="73">
        <v>110000.0</v>
      </c>
      <c r="G240" s="122" t="s">
        <v>37</v>
      </c>
      <c r="H240" s="18" t="s">
        <v>274</v>
      </c>
      <c r="I240" s="123">
        <v>2014.0</v>
      </c>
      <c r="K240" s="29" t="s">
        <v>291</v>
      </c>
    </row>
    <row r="241">
      <c r="A241" s="41" t="s">
        <v>171</v>
      </c>
      <c r="B241" s="11" t="s">
        <v>172</v>
      </c>
      <c r="C241" s="139"/>
      <c r="D241" s="142">
        <v>40.0</v>
      </c>
      <c r="E241" s="151"/>
      <c r="F241" s="73">
        <v>118000.0</v>
      </c>
      <c r="G241" s="122" t="s">
        <v>37</v>
      </c>
      <c r="H241" s="18" t="s">
        <v>274</v>
      </c>
      <c r="I241" s="123">
        <v>2014.0</v>
      </c>
      <c r="K241" s="29" t="s">
        <v>291</v>
      </c>
    </row>
    <row r="242">
      <c r="A242" s="41" t="s">
        <v>171</v>
      </c>
      <c r="B242" s="11" t="s">
        <v>172</v>
      </c>
      <c r="C242" s="139"/>
      <c r="D242" s="141">
        <v>45.0</v>
      </c>
      <c r="E242" s="151"/>
      <c r="F242" s="73">
        <v>124000.0</v>
      </c>
      <c r="G242" s="122" t="s">
        <v>37</v>
      </c>
      <c r="H242" s="18" t="s">
        <v>274</v>
      </c>
      <c r="I242" s="123">
        <v>2014.0</v>
      </c>
      <c r="K242" s="29" t="s">
        <v>291</v>
      </c>
    </row>
    <row r="243">
      <c r="A243" s="41" t="s">
        <v>171</v>
      </c>
      <c r="B243" s="11" t="s">
        <v>172</v>
      </c>
      <c r="C243" s="139"/>
      <c r="D243" s="141">
        <v>50.0</v>
      </c>
      <c r="E243" s="151"/>
      <c r="F243" s="73">
        <v>130000.0</v>
      </c>
      <c r="G243" s="122" t="s">
        <v>37</v>
      </c>
      <c r="H243" s="18" t="s">
        <v>274</v>
      </c>
      <c r="I243" s="123">
        <v>2014.0</v>
      </c>
      <c r="K243" s="29" t="s">
        <v>291</v>
      </c>
    </row>
    <row r="244">
      <c r="A244" s="41" t="s">
        <v>171</v>
      </c>
      <c r="B244" s="11" t="s">
        <v>172</v>
      </c>
      <c r="C244" s="139"/>
      <c r="D244" s="141">
        <v>55.0</v>
      </c>
      <c r="E244" s="151"/>
      <c r="F244" s="73">
        <v>143000.0</v>
      </c>
      <c r="G244" s="122" t="s">
        <v>37</v>
      </c>
      <c r="H244" s="18" t="s">
        <v>274</v>
      </c>
      <c r="I244" s="123">
        <v>2014.0</v>
      </c>
      <c r="K244" s="29" t="s">
        <v>291</v>
      </c>
    </row>
    <row r="245">
      <c r="A245" s="41" t="s">
        <v>171</v>
      </c>
      <c r="B245" s="11" t="s">
        <v>172</v>
      </c>
      <c r="C245" s="139"/>
      <c r="D245" s="141">
        <v>60.0</v>
      </c>
      <c r="E245" s="151"/>
      <c r="F245" s="73">
        <v>156000.0</v>
      </c>
      <c r="G245" s="122" t="s">
        <v>37</v>
      </c>
      <c r="H245" s="18" t="s">
        <v>274</v>
      </c>
      <c r="I245" s="123">
        <v>2014.0</v>
      </c>
      <c r="K245" s="29" t="s">
        <v>291</v>
      </c>
    </row>
    <row r="246">
      <c r="A246" s="41" t="s">
        <v>171</v>
      </c>
      <c r="B246" s="11" t="s">
        <v>172</v>
      </c>
      <c r="C246" s="139"/>
      <c r="D246" s="141">
        <v>65.0</v>
      </c>
      <c r="E246" s="151"/>
      <c r="F246" s="73">
        <v>170000.0</v>
      </c>
      <c r="G246" s="122" t="s">
        <v>37</v>
      </c>
      <c r="H246" s="18" t="s">
        <v>274</v>
      </c>
      <c r="I246" s="123">
        <v>2014.0</v>
      </c>
      <c r="K246" s="29" t="s">
        <v>291</v>
      </c>
    </row>
    <row r="247">
      <c r="A247" s="41" t="s">
        <v>171</v>
      </c>
      <c r="B247" s="11" t="s">
        <v>172</v>
      </c>
      <c r="C247" s="139"/>
      <c r="D247" s="141">
        <v>70.0</v>
      </c>
      <c r="E247" s="151"/>
      <c r="F247" s="73">
        <v>185000.0</v>
      </c>
      <c r="G247" s="122" t="s">
        <v>37</v>
      </c>
      <c r="H247" s="18" t="s">
        <v>274</v>
      </c>
      <c r="I247" s="123">
        <v>2014.0</v>
      </c>
      <c r="K247" s="29" t="s">
        <v>291</v>
      </c>
    </row>
    <row r="248">
      <c r="A248" s="41" t="s">
        <v>171</v>
      </c>
      <c r="B248" s="11" t="s">
        <v>172</v>
      </c>
      <c r="C248" s="139"/>
      <c r="D248" s="141">
        <v>75.0</v>
      </c>
      <c r="E248" s="151"/>
      <c r="F248" s="73">
        <v>200000.0</v>
      </c>
      <c r="G248" s="122" t="s">
        <v>37</v>
      </c>
      <c r="H248" s="18" t="s">
        <v>274</v>
      </c>
      <c r="I248" s="123">
        <v>2014.0</v>
      </c>
      <c r="K248" s="29" t="s">
        <v>291</v>
      </c>
    </row>
    <row r="249">
      <c r="A249" s="41" t="s">
        <v>171</v>
      </c>
      <c r="B249" s="11" t="s">
        <v>172</v>
      </c>
      <c r="C249" s="139"/>
      <c r="D249" s="141">
        <v>80.0</v>
      </c>
      <c r="E249" s="151"/>
      <c r="F249" s="73">
        <v>215000.0</v>
      </c>
      <c r="G249" s="122" t="s">
        <v>37</v>
      </c>
      <c r="H249" s="18" t="s">
        <v>274</v>
      </c>
      <c r="I249" s="123">
        <v>2014.0</v>
      </c>
      <c r="K249" s="29" t="s">
        <v>291</v>
      </c>
    </row>
    <row r="250">
      <c r="A250" s="41" t="s">
        <v>171</v>
      </c>
      <c r="B250" s="11" t="s">
        <v>172</v>
      </c>
      <c r="C250" s="139"/>
      <c r="D250" s="135">
        <v>85.0</v>
      </c>
      <c r="E250" s="151"/>
      <c r="F250" s="73">
        <v>230000.0</v>
      </c>
      <c r="G250" s="122" t="s">
        <v>37</v>
      </c>
      <c r="H250" s="18" t="s">
        <v>274</v>
      </c>
      <c r="I250" s="123">
        <v>2014.0</v>
      </c>
      <c r="K250" s="29" t="s">
        <v>291</v>
      </c>
    </row>
    <row r="251">
      <c r="A251" s="41" t="s">
        <v>171</v>
      </c>
      <c r="B251" s="11" t="s">
        <v>172</v>
      </c>
      <c r="C251" s="139"/>
      <c r="D251" s="135">
        <v>90.0</v>
      </c>
      <c r="E251" s="151"/>
      <c r="F251" s="73">
        <v>245000.0</v>
      </c>
      <c r="G251" s="122" t="s">
        <v>37</v>
      </c>
      <c r="H251" s="18" t="s">
        <v>274</v>
      </c>
      <c r="I251" s="123">
        <v>2014.0</v>
      </c>
      <c r="K251" s="29" t="s">
        <v>291</v>
      </c>
    </row>
    <row r="252">
      <c r="A252" s="41" t="s">
        <v>171</v>
      </c>
      <c r="B252" s="11" t="s">
        <v>172</v>
      </c>
      <c r="C252" s="117"/>
      <c r="D252" s="135">
        <v>95.0</v>
      </c>
      <c r="E252" s="151"/>
      <c r="F252" s="73">
        <v>260000.0</v>
      </c>
      <c r="G252" s="122" t="s">
        <v>37</v>
      </c>
      <c r="H252" s="18" t="s">
        <v>274</v>
      </c>
      <c r="I252" s="123">
        <v>2014.0</v>
      </c>
      <c r="K252" s="29" t="s">
        <v>291</v>
      </c>
    </row>
    <row r="253">
      <c r="A253" s="41" t="s">
        <v>171</v>
      </c>
      <c r="B253" s="11" t="s">
        <v>172</v>
      </c>
      <c r="C253" s="117" t="s">
        <v>278</v>
      </c>
      <c r="D253" s="135">
        <v>100.0</v>
      </c>
      <c r="E253" s="151"/>
      <c r="F253" s="73">
        <v>275000.0</v>
      </c>
      <c r="G253" s="122" t="s">
        <v>37</v>
      </c>
      <c r="H253" s="18" t="s">
        <v>274</v>
      </c>
      <c r="I253" s="123">
        <v>2014.0</v>
      </c>
      <c r="K253" s="29" t="s">
        <v>291</v>
      </c>
    </row>
    <row r="254">
      <c r="A254" s="124"/>
      <c r="B254" s="46"/>
      <c r="C254" s="125"/>
      <c r="D254" s="125"/>
      <c r="E254" s="126"/>
      <c r="F254" s="127"/>
      <c r="G254" s="126"/>
      <c r="H254" s="46"/>
      <c r="I254" s="128"/>
      <c r="J254" s="46"/>
      <c r="K254" s="46"/>
      <c r="L254" s="46"/>
      <c r="M254" s="46"/>
      <c r="N254" s="46"/>
      <c r="O254" s="46"/>
      <c r="P254" s="46"/>
      <c r="Q254" s="46"/>
      <c r="R254" s="46"/>
      <c r="S254" s="46"/>
      <c r="T254" s="46"/>
      <c r="U254" s="46"/>
      <c r="V254" s="46"/>
      <c r="W254" s="46"/>
      <c r="X254" s="46"/>
      <c r="Y254" s="46"/>
      <c r="Z254" s="46"/>
      <c r="AA254" s="46"/>
      <c r="AB254" s="46"/>
      <c r="AC254" s="46"/>
      <c r="AD254" s="46"/>
      <c r="AE254" s="46"/>
    </row>
    <row r="255">
      <c r="A255" s="40" t="s">
        <v>174</v>
      </c>
      <c r="B255" s="29" t="s">
        <v>175</v>
      </c>
      <c r="C255" s="117" t="s">
        <v>273</v>
      </c>
      <c r="D255" s="141">
        <v>0.0</v>
      </c>
      <c r="E255" s="141">
        <v>44.9</v>
      </c>
      <c r="F255" s="95">
        <v>75000.0</v>
      </c>
      <c r="G255" s="122">
        <v>11000.0</v>
      </c>
      <c r="H255" s="18" t="s">
        <v>274</v>
      </c>
      <c r="I255" s="123">
        <v>2010.0</v>
      </c>
      <c r="K255" s="29" t="s">
        <v>292</v>
      </c>
    </row>
    <row r="256">
      <c r="A256" s="40" t="s">
        <v>174</v>
      </c>
      <c r="B256" s="29" t="s">
        <v>175</v>
      </c>
      <c r="C256" s="152"/>
      <c r="D256" s="148">
        <v>45.0</v>
      </c>
      <c r="E256" s="141">
        <v>54.9</v>
      </c>
      <c r="F256" s="95">
        <v>115000.0</v>
      </c>
      <c r="G256" s="122">
        <v>11000.0</v>
      </c>
      <c r="H256" s="18" t="s">
        <v>274</v>
      </c>
      <c r="I256" s="123">
        <v>2010.0</v>
      </c>
      <c r="K256" s="29" t="s">
        <v>292</v>
      </c>
    </row>
    <row r="257">
      <c r="A257" s="40" t="s">
        <v>174</v>
      </c>
      <c r="B257" s="29" t="s">
        <v>175</v>
      </c>
      <c r="C257" s="152"/>
      <c r="D257" s="148">
        <v>55.0</v>
      </c>
      <c r="E257" s="141">
        <v>64.9</v>
      </c>
      <c r="F257" s="95">
        <v>150000.0</v>
      </c>
      <c r="G257" s="122">
        <v>11000.0</v>
      </c>
      <c r="H257" s="18" t="s">
        <v>274</v>
      </c>
      <c r="I257" s="123">
        <v>2010.0</v>
      </c>
      <c r="K257" s="29" t="s">
        <v>292</v>
      </c>
    </row>
    <row r="258">
      <c r="A258" s="40" t="s">
        <v>174</v>
      </c>
      <c r="B258" s="29" t="s">
        <v>175</v>
      </c>
      <c r="C258" s="117" t="s">
        <v>278</v>
      </c>
      <c r="D258" s="148">
        <v>65.0</v>
      </c>
      <c r="E258" s="135">
        <v>100.0</v>
      </c>
      <c r="F258" s="95">
        <v>200000.0</v>
      </c>
      <c r="G258" s="122">
        <v>11000.0</v>
      </c>
      <c r="H258" s="18" t="s">
        <v>274</v>
      </c>
      <c r="I258" s="123">
        <v>2010.0</v>
      </c>
      <c r="K258" s="29" t="s">
        <v>292</v>
      </c>
    </row>
    <row r="259">
      <c r="A259" s="124"/>
      <c r="B259" s="46"/>
      <c r="C259" s="125"/>
      <c r="D259" s="125"/>
      <c r="E259" s="126"/>
      <c r="F259" s="127"/>
      <c r="G259" s="126"/>
      <c r="H259" s="46"/>
      <c r="I259" s="128"/>
      <c r="J259" s="46"/>
      <c r="K259" s="46"/>
      <c r="L259" s="46"/>
      <c r="M259" s="46"/>
      <c r="N259" s="46"/>
      <c r="O259" s="46"/>
      <c r="P259" s="46"/>
      <c r="Q259" s="46"/>
      <c r="R259" s="46"/>
      <c r="S259" s="46"/>
      <c r="T259" s="46"/>
      <c r="U259" s="46"/>
      <c r="V259" s="46"/>
      <c r="W259" s="46"/>
      <c r="X259" s="46"/>
      <c r="Y259" s="46"/>
      <c r="Z259" s="46"/>
      <c r="AA259" s="46"/>
      <c r="AB259" s="46"/>
      <c r="AC259" s="46"/>
      <c r="AD259" s="46"/>
      <c r="AE259" s="46"/>
    </row>
    <row r="260">
      <c r="A260" s="41" t="s">
        <v>183</v>
      </c>
      <c r="B260" s="43" t="s">
        <v>184</v>
      </c>
      <c r="C260" s="117" t="s">
        <v>273</v>
      </c>
      <c r="D260" s="153" t="s">
        <v>293</v>
      </c>
      <c r="E260" s="76" t="s">
        <v>294</v>
      </c>
      <c r="F260" s="95">
        <v>10000.0</v>
      </c>
      <c r="G260" s="149"/>
      <c r="H260" s="18" t="s">
        <v>274</v>
      </c>
      <c r="I260" s="123">
        <v>2012.0</v>
      </c>
      <c r="K260" s="29" t="s">
        <v>295</v>
      </c>
    </row>
    <row r="261">
      <c r="A261" s="41" t="s">
        <v>183</v>
      </c>
      <c r="B261" s="43" t="s">
        <v>184</v>
      </c>
      <c r="C261" s="152"/>
      <c r="D261" s="76" t="s">
        <v>296</v>
      </c>
      <c r="E261" s="154" t="s">
        <v>297</v>
      </c>
      <c r="F261" s="95">
        <v>20000.0</v>
      </c>
      <c r="G261" s="149"/>
      <c r="H261" s="18" t="s">
        <v>274</v>
      </c>
      <c r="I261" s="123">
        <v>2012.0</v>
      </c>
      <c r="K261" s="29" t="s">
        <v>295</v>
      </c>
    </row>
    <row r="262">
      <c r="A262" s="41" t="s">
        <v>183</v>
      </c>
      <c r="B262" s="43" t="s">
        <v>184</v>
      </c>
      <c r="C262" s="152"/>
      <c r="D262" s="153" t="s">
        <v>298</v>
      </c>
      <c r="E262" s="76" t="s">
        <v>299</v>
      </c>
      <c r="F262" s="95">
        <v>50000.0</v>
      </c>
      <c r="G262" s="149"/>
      <c r="H262" s="18" t="s">
        <v>274</v>
      </c>
      <c r="I262" s="123">
        <v>2012.0</v>
      </c>
      <c r="K262" s="29" t="s">
        <v>295</v>
      </c>
    </row>
    <row r="263">
      <c r="A263" s="41" t="s">
        <v>183</v>
      </c>
      <c r="B263" s="43" t="s">
        <v>184</v>
      </c>
      <c r="C263" s="117" t="s">
        <v>278</v>
      </c>
      <c r="D263" s="76" t="s">
        <v>300</v>
      </c>
      <c r="E263" s="155"/>
      <c r="F263" s="95">
        <v>75000.0</v>
      </c>
      <c r="G263" s="149"/>
      <c r="H263" s="18" t="s">
        <v>274</v>
      </c>
      <c r="I263" s="123">
        <v>2012.0</v>
      </c>
      <c r="K263" s="29" t="s">
        <v>295</v>
      </c>
    </row>
    <row r="264">
      <c r="A264" s="124"/>
      <c r="B264" s="46"/>
      <c r="C264" s="125"/>
      <c r="D264" s="125"/>
      <c r="E264" s="126"/>
      <c r="F264" s="127"/>
      <c r="G264" s="126"/>
      <c r="H264" s="46"/>
      <c r="I264" s="128"/>
      <c r="J264" s="46"/>
      <c r="K264" s="46"/>
      <c r="L264" s="46"/>
      <c r="M264" s="46"/>
      <c r="N264" s="46"/>
      <c r="O264" s="46"/>
      <c r="P264" s="46"/>
      <c r="Q264" s="46"/>
      <c r="R264" s="46"/>
      <c r="S264" s="46"/>
      <c r="T264" s="46"/>
      <c r="U264" s="46"/>
      <c r="V264" s="46"/>
      <c r="W264" s="46"/>
      <c r="X264" s="46"/>
      <c r="Y264" s="46"/>
      <c r="Z264" s="46"/>
      <c r="AA264" s="46"/>
      <c r="AB264" s="46"/>
      <c r="AC264" s="46"/>
      <c r="AD264" s="46"/>
      <c r="AE264" s="46"/>
    </row>
    <row r="265">
      <c r="A265" s="41" t="s">
        <v>186</v>
      </c>
      <c r="B265" s="42" t="s">
        <v>187</v>
      </c>
      <c r="C265" s="117" t="s">
        <v>273</v>
      </c>
      <c r="D265" s="141">
        <v>0.0</v>
      </c>
      <c r="E265" s="141">
        <v>24.9</v>
      </c>
      <c r="F265" s="95">
        <v>20000.0</v>
      </c>
      <c r="G265" s="122">
        <v>37758.0</v>
      </c>
      <c r="H265" s="18" t="s">
        <v>274</v>
      </c>
      <c r="I265" s="123">
        <v>2013.0</v>
      </c>
      <c r="J265">
        <f t="shared" ref="J265:J268" si="1">G265*(E265/100)</f>
        <v>9401.742</v>
      </c>
    </row>
    <row r="266">
      <c r="A266" s="41" t="s">
        <v>186</v>
      </c>
      <c r="B266" s="42" t="s">
        <v>187</v>
      </c>
      <c r="C266" s="152"/>
      <c r="D266" s="148">
        <v>25.0</v>
      </c>
      <c r="E266" s="141">
        <v>39.9</v>
      </c>
      <c r="F266" s="95">
        <v>25000.0</v>
      </c>
      <c r="G266" s="122">
        <v>37758.0</v>
      </c>
      <c r="H266" s="18" t="s">
        <v>274</v>
      </c>
      <c r="I266" s="123">
        <v>2013.0</v>
      </c>
      <c r="J266">
        <f t="shared" si="1"/>
        <v>15065.442</v>
      </c>
    </row>
    <row r="267">
      <c r="A267" s="41" t="s">
        <v>186</v>
      </c>
      <c r="B267" s="42" t="s">
        <v>187</v>
      </c>
      <c r="C267" s="152"/>
      <c r="D267" s="148">
        <v>40.0</v>
      </c>
      <c r="E267" s="141">
        <v>49.9</v>
      </c>
      <c r="F267" s="95">
        <v>35000.0</v>
      </c>
      <c r="G267" s="122">
        <v>37758.0</v>
      </c>
      <c r="H267" s="18" t="s">
        <v>274</v>
      </c>
      <c r="I267" s="123">
        <v>2013.0</v>
      </c>
      <c r="J267">
        <f t="shared" si="1"/>
        <v>18841.242</v>
      </c>
    </row>
    <row r="268">
      <c r="A268" s="41" t="s">
        <v>186</v>
      </c>
      <c r="B268" s="42" t="s">
        <v>187</v>
      </c>
      <c r="C268" s="117"/>
      <c r="D268" s="148">
        <v>50.0</v>
      </c>
      <c r="E268" s="141">
        <v>54.9</v>
      </c>
      <c r="F268" s="95">
        <v>50000.0</v>
      </c>
      <c r="G268" s="122">
        <v>37758.0</v>
      </c>
      <c r="H268" s="18" t="s">
        <v>274</v>
      </c>
      <c r="I268" s="123">
        <v>2013.0</v>
      </c>
      <c r="J268">
        <f t="shared" si="1"/>
        <v>20729.142</v>
      </c>
    </row>
    <row r="269">
      <c r="A269" s="41" t="s">
        <v>186</v>
      </c>
      <c r="B269" s="42" t="s">
        <v>187</v>
      </c>
      <c r="C269" s="152"/>
      <c r="D269" s="148">
        <v>55.0</v>
      </c>
      <c r="E269" s="141">
        <v>64.9</v>
      </c>
      <c r="F269" s="95">
        <v>75000.0</v>
      </c>
      <c r="G269" s="122">
        <v>37758.0</v>
      </c>
      <c r="H269" s="18" t="s">
        <v>274</v>
      </c>
      <c r="I269" s="123">
        <v>2013.0</v>
      </c>
    </row>
    <row r="270">
      <c r="A270" s="41" t="s">
        <v>186</v>
      </c>
      <c r="B270" s="42" t="s">
        <v>187</v>
      </c>
      <c r="C270" s="152"/>
      <c r="D270" s="148">
        <v>65.0</v>
      </c>
      <c r="E270" s="141">
        <v>74.9</v>
      </c>
      <c r="F270" s="95">
        <v>100000.0</v>
      </c>
      <c r="G270" s="122">
        <v>37758.0</v>
      </c>
      <c r="H270" s="18" t="s">
        <v>274</v>
      </c>
      <c r="I270" s="123">
        <v>2013.0</v>
      </c>
    </row>
    <row r="271">
      <c r="A271" s="41" t="s">
        <v>186</v>
      </c>
      <c r="B271" s="42" t="s">
        <v>187</v>
      </c>
      <c r="C271" s="152"/>
      <c r="D271" s="148">
        <v>75.0</v>
      </c>
      <c r="E271" s="141">
        <v>84.9</v>
      </c>
      <c r="F271" s="95">
        <v>125000.0</v>
      </c>
      <c r="G271" s="122">
        <v>37758.0</v>
      </c>
      <c r="H271" s="18" t="s">
        <v>274</v>
      </c>
      <c r="I271" s="123">
        <v>2013.0</v>
      </c>
    </row>
    <row r="272">
      <c r="A272" s="41" t="s">
        <v>186</v>
      </c>
      <c r="B272" s="42" t="s">
        <v>187</v>
      </c>
      <c r="C272" s="152"/>
      <c r="D272" s="141">
        <v>85.0</v>
      </c>
      <c r="E272" s="141">
        <v>94.9</v>
      </c>
      <c r="F272" s="95">
        <v>150000.0</v>
      </c>
      <c r="G272" s="122">
        <v>37758.0</v>
      </c>
      <c r="H272" s="18" t="s">
        <v>274</v>
      </c>
      <c r="I272" s="123">
        <v>2013.0</v>
      </c>
    </row>
    <row r="273">
      <c r="A273" s="41" t="s">
        <v>186</v>
      </c>
      <c r="B273" s="42" t="s">
        <v>187</v>
      </c>
      <c r="C273" s="117" t="s">
        <v>278</v>
      </c>
      <c r="D273" s="135">
        <v>95.0</v>
      </c>
      <c r="E273" s="135">
        <v>100.0</v>
      </c>
      <c r="F273" s="95">
        <v>175000.0</v>
      </c>
      <c r="G273" s="122">
        <v>37758.0</v>
      </c>
      <c r="H273" s="18" t="s">
        <v>274</v>
      </c>
      <c r="I273" s="123">
        <v>2013.0</v>
      </c>
    </row>
    <row r="274">
      <c r="A274" s="124"/>
      <c r="B274" s="46"/>
      <c r="C274" s="125"/>
      <c r="D274" s="125"/>
      <c r="E274" s="126"/>
      <c r="F274" s="127"/>
      <c r="G274" s="126"/>
      <c r="H274" s="46"/>
      <c r="I274" s="128"/>
      <c r="J274" s="46"/>
      <c r="K274" s="46"/>
      <c r="L274" s="46"/>
      <c r="M274" s="46"/>
      <c r="N274" s="46"/>
      <c r="O274" s="46"/>
      <c r="P274" s="46"/>
      <c r="Q274" s="46"/>
      <c r="R274" s="46"/>
      <c r="S274" s="46"/>
      <c r="T274" s="46"/>
      <c r="U274" s="46"/>
      <c r="V274" s="46"/>
      <c r="W274" s="46"/>
      <c r="X274" s="46"/>
      <c r="Y274" s="46"/>
      <c r="Z274" s="46"/>
      <c r="AA274" s="46"/>
      <c r="AB274" s="46"/>
      <c r="AC274" s="46"/>
      <c r="AD274" s="46"/>
      <c r="AE274" s="46"/>
    </row>
    <row r="275">
      <c r="A275" s="41" t="s">
        <v>189</v>
      </c>
      <c r="B275" s="43" t="s">
        <v>190</v>
      </c>
      <c r="C275" s="117" t="s">
        <v>273</v>
      </c>
      <c r="D275" s="139">
        <v>0.0</v>
      </c>
      <c r="E275" s="122">
        <v>19.0</v>
      </c>
      <c r="F275" s="95">
        <v>35000.0</v>
      </c>
      <c r="G275" s="122">
        <v>33500.0</v>
      </c>
      <c r="H275" s="18" t="s">
        <v>274</v>
      </c>
      <c r="I275" s="85">
        <v>39692.0</v>
      </c>
      <c r="K275" s="29" t="s">
        <v>301</v>
      </c>
    </row>
    <row r="276">
      <c r="A276" s="41" t="s">
        <v>189</v>
      </c>
      <c r="B276" s="43" t="s">
        <v>190</v>
      </c>
      <c r="C276" s="139"/>
      <c r="D276" s="139">
        <v>20.0</v>
      </c>
      <c r="E276" s="122">
        <v>29.0</v>
      </c>
      <c r="F276" s="95">
        <v>75000.0</v>
      </c>
      <c r="G276" s="122">
        <v>33500.0</v>
      </c>
      <c r="H276" s="18" t="s">
        <v>274</v>
      </c>
      <c r="I276" s="85">
        <v>39692.0</v>
      </c>
      <c r="K276" s="29" t="s">
        <v>301</v>
      </c>
    </row>
    <row r="277">
      <c r="A277" s="41" t="s">
        <v>189</v>
      </c>
      <c r="B277" s="43" t="s">
        <v>190</v>
      </c>
      <c r="C277" s="139"/>
      <c r="D277" s="139">
        <v>30.0</v>
      </c>
      <c r="E277" s="122">
        <v>39.0</v>
      </c>
      <c r="F277" s="95">
        <v>125000.0</v>
      </c>
      <c r="G277" s="122">
        <v>33500.0</v>
      </c>
      <c r="H277" s="18" t="s">
        <v>274</v>
      </c>
      <c r="I277" s="85">
        <v>39692.0</v>
      </c>
      <c r="K277" s="29" t="s">
        <v>301</v>
      </c>
    </row>
    <row r="278">
      <c r="A278" s="41" t="s">
        <v>189</v>
      </c>
      <c r="B278" s="43" t="s">
        <v>190</v>
      </c>
      <c r="C278" s="139"/>
      <c r="D278" s="139">
        <v>40.0</v>
      </c>
      <c r="E278" s="122">
        <v>49.0</v>
      </c>
      <c r="F278" s="95">
        <v>180000.0</v>
      </c>
      <c r="G278" s="122">
        <v>33500.0</v>
      </c>
      <c r="H278" s="18" t="s">
        <v>274</v>
      </c>
      <c r="I278" s="85">
        <v>39692.0</v>
      </c>
      <c r="K278" s="29" t="s">
        <v>301</v>
      </c>
    </row>
    <row r="279">
      <c r="A279" s="41" t="s">
        <v>189</v>
      </c>
      <c r="B279" s="43" t="s">
        <v>190</v>
      </c>
      <c r="C279" s="139"/>
      <c r="D279" s="139">
        <v>50.0</v>
      </c>
      <c r="E279" s="122">
        <v>59.0</v>
      </c>
      <c r="F279" s="95">
        <v>250000.0</v>
      </c>
      <c r="G279" s="122">
        <v>33500.0</v>
      </c>
      <c r="H279" s="18" t="s">
        <v>274</v>
      </c>
      <c r="I279" s="85">
        <v>39692.0</v>
      </c>
      <c r="K279" s="29" t="s">
        <v>301</v>
      </c>
    </row>
    <row r="280">
      <c r="A280" s="41" t="s">
        <v>189</v>
      </c>
      <c r="B280" s="43" t="s">
        <v>190</v>
      </c>
      <c r="C280" s="139"/>
      <c r="D280" s="139">
        <v>60.0</v>
      </c>
      <c r="E280" s="122">
        <v>69.0</v>
      </c>
      <c r="F280" s="95">
        <v>325000.0</v>
      </c>
      <c r="G280" s="122">
        <v>33500.0</v>
      </c>
      <c r="H280" s="18" t="s">
        <v>274</v>
      </c>
      <c r="I280" s="85">
        <v>39692.0</v>
      </c>
      <c r="K280" s="29" t="s">
        <v>301</v>
      </c>
    </row>
    <row r="281">
      <c r="A281" s="41" t="s">
        <v>189</v>
      </c>
      <c r="B281" s="43" t="s">
        <v>190</v>
      </c>
      <c r="C281" s="117" t="s">
        <v>278</v>
      </c>
      <c r="D281" s="139">
        <v>70.0</v>
      </c>
      <c r="E281" s="122">
        <v>100.0</v>
      </c>
      <c r="F281" s="95">
        <v>450000.0</v>
      </c>
      <c r="G281" s="122">
        <v>33500.0</v>
      </c>
      <c r="H281" s="18" t="s">
        <v>274</v>
      </c>
      <c r="I281" s="85">
        <v>39692.0</v>
      </c>
      <c r="K281" s="29" t="s">
        <v>301</v>
      </c>
    </row>
    <row r="282">
      <c r="A282" s="124"/>
      <c r="B282" s="46"/>
      <c r="C282" s="125"/>
      <c r="D282" s="125"/>
      <c r="E282" s="126"/>
      <c r="F282" s="127"/>
      <c r="G282" s="126"/>
      <c r="H282" s="46"/>
      <c r="I282" s="128"/>
      <c r="J282" s="46"/>
      <c r="K282" s="46"/>
      <c r="L282" s="46"/>
      <c r="M282" s="46"/>
      <c r="N282" s="46"/>
      <c r="O282" s="46"/>
      <c r="P282" s="46"/>
      <c r="Q282" s="46"/>
      <c r="R282" s="46"/>
      <c r="S282" s="46"/>
      <c r="T282" s="46"/>
      <c r="U282" s="46"/>
      <c r="V282" s="46"/>
      <c r="W282" s="46"/>
      <c r="X282" s="46"/>
      <c r="Y282" s="46"/>
      <c r="Z282" s="46"/>
      <c r="AA282" s="46"/>
      <c r="AB282" s="46"/>
      <c r="AC282" s="46"/>
      <c r="AD282" s="46"/>
      <c r="AE282" s="46"/>
    </row>
    <row r="283">
      <c r="A283" s="41" t="s">
        <v>192</v>
      </c>
      <c r="B283" s="11" t="s">
        <v>193</v>
      </c>
      <c r="C283" s="117" t="s">
        <v>273</v>
      </c>
      <c r="D283" s="139">
        <v>0.0</v>
      </c>
      <c r="E283" s="122">
        <v>54.9</v>
      </c>
      <c r="F283" s="95">
        <v>125000.0</v>
      </c>
      <c r="G283" s="122" t="s">
        <v>37</v>
      </c>
      <c r="H283" s="18" t="s">
        <v>274</v>
      </c>
      <c r="I283" s="86">
        <v>40087.0</v>
      </c>
      <c r="K283" s="29" t="s">
        <v>302</v>
      </c>
    </row>
    <row r="284">
      <c r="A284" s="41" t="s">
        <v>192</v>
      </c>
      <c r="B284" s="11" t="s">
        <v>193</v>
      </c>
      <c r="C284" s="139"/>
      <c r="D284" s="139">
        <v>55.0</v>
      </c>
      <c r="E284" s="122">
        <v>64.9</v>
      </c>
      <c r="F284" s="95">
        <v>130000.0</v>
      </c>
      <c r="G284" s="122" t="s">
        <v>37</v>
      </c>
      <c r="H284" s="18" t="s">
        <v>274</v>
      </c>
      <c r="I284" s="86">
        <v>40087.0</v>
      </c>
      <c r="K284" s="29" t="s">
        <v>302</v>
      </c>
    </row>
    <row r="285">
      <c r="A285" s="41" t="s">
        <v>192</v>
      </c>
      <c r="B285" s="11" t="s">
        <v>193</v>
      </c>
      <c r="C285" s="139"/>
      <c r="D285" s="139">
        <v>65.0</v>
      </c>
      <c r="E285" s="122">
        <v>74.9</v>
      </c>
      <c r="F285" s="95">
        <v>140000.0</v>
      </c>
      <c r="G285" s="122" t="s">
        <v>37</v>
      </c>
      <c r="H285" s="18" t="s">
        <v>274</v>
      </c>
      <c r="I285" s="86">
        <v>40087.0</v>
      </c>
      <c r="K285" s="29" t="s">
        <v>302</v>
      </c>
    </row>
    <row r="286">
      <c r="A286" s="41" t="s">
        <v>192</v>
      </c>
      <c r="B286" s="11" t="s">
        <v>193</v>
      </c>
      <c r="C286" s="139"/>
      <c r="D286" s="139">
        <v>75.0</v>
      </c>
      <c r="E286" s="122">
        <v>79.9</v>
      </c>
      <c r="F286" s="95">
        <v>145000.0</v>
      </c>
      <c r="G286" s="122" t="s">
        <v>37</v>
      </c>
      <c r="H286" s="18" t="s">
        <v>274</v>
      </c>
      <c r="I286" s="86">
        <v>40087.0</v>
      </c>
      <c r="K286" s="29" t="s">
        <v>302</v>
      </c>
    </row>
    <row r="287">
      <c r="A287" s="41" t="s">
        <v>192</v>
      </c>
      <c r="B287" s="11" t="s">
        <v>193</v>
      </c>
      <c r="C287" s="139"/>
      <c r="D287" s="139">
        <v>80.0</v>
      </c>
      <c r="E287" s="122">
        <v>84.9</v>
      </c>
      <c r="F287" s="95">
        <v>150000.0</v>
      </c>
      <c r="G287" s="122" t="s">
        <v>37</v>
      </c>
      <c r="H287" s="18" t="s">
        <v>274</v>
      </c>
      <c r="I287" s="86">
        <v>40087.0</v>
      </c>
      <c r="K287" s="29" t="s">
        <v>302</v>
      </c>
    </row>
    <row r="288">
      <c r="A288" s="41" t="s">
        <v>192</v>
      </c>
      <c r="B288" s="11" t="s">
        <v>193</v>
      </c>
      <c r="C288" s="139"/>
      <c r="D288" s="139">
        <v>85.0</v>
      </c>
      <c r="E288" s="122">
        <v>89.9</v>
      </c>
      <c r="F288" s="95">
        <v>160000.0</v>
      </c>
      <c r="G288" s="122" t="s">
        <v>37</v>
      </c>
      <c r="H288" s="18" t="s">
        <v>274</v>
      </c>
      <c r="I288" s="86">
        <v>40087.0</v>
      </c>
      <c r="K288" s="29" t="s">
        <v>302</v>
      </c>
    </row>
    <row r="289">
      <c r="A289" s="41" t="s">
        <v>192</v>
      </c>
      <c r="B289" s="11" t="s">
        <v>193</v>
      </c>
      <c r="C289" s="117"/>
      <c r="D289" s="139">
        <v>90.0</v>
      </c>
      <c r="E289" s="122">
        <v>94.9</v>
      </c>
      <c r="F289" s="95">
        <v>175000.0</v>
      </c>
      <c r="G289" s="122" t="s">
        <v>37</v>
      </c>
      <c r="H289" s="18" t="s">
        <v>274</v>
      </c>
      <c r="I289" s="86">
        <v>40087.0</v>
      </c>
      <c r="K289" s="29" t="s">
        <v>302</v>
      </c>
    </row>
    <row r="290">
      <c r="A290" s="41" t="s">
        <v>192</v>
      </c>
      <c r="B290" s="11" t="s">
        <v>193</v>
      </c>
      <c r="C290" s="152"/>
      <c r="D290" s="139">
        <v>95.0</v>
      </c>
      <c r="E290" s="122">
        <v>99.9</v>
      </c>
      <c r="F290" s="95">
        <v>190000.0</v>
      </c>
      <c r="G290" s="122" t="s">
        <v>37</v>
      </c>
      <c r="H290" s="18" t="s">
        <v>274</v>
      </c>
      <c r="I290" s="86">
        <v>40087.0</v>
      </c>
      <c r="K290" s="29" t="s">
        <v>302</v>
      </c>
    </row>
    <row r="291">
      <c r="A291" s="41" t="s">
        <v>192</v>
      </c>
      <c r="B291" s="11" t="s">
        <v>193</v>
      </c>
      <c r="C291" s="117" t="s">
        <v>278</v>
      </c>
      <c r="D291" s="139">
        <v>100.0</v>
      </c>
      <c r="E291" s="139">
        <v>100.0</v>
      </c>
      <c r="F291" s="95">
        <v>200000.0</v>
      </c>
      <c r="G291" s="122" t="s">
        <v>37</v>
      </c>
      <c r="H291" s="18" t="s">
        <v>274</v>
      </c>
      <c r="I291" s="86">
        <v>40087.0</v>
      </c>
      <c r="K291" s="29" t="s">
        <v>302</v>
      </c>
    </row>
    <row r="292">
      <c r="A292" s="124"/>
      <c r="B292" s="46"/>
      <c r="C292" s="125"/>
      <c r="D292" s="125"/>
      <c r="E292" s="126"/>
      <c r="F292" s="127"/>
      <c r="G292" s="126"/>
      <c r="H292" s="46"/>
      <c r="I292" s="128"/>
      <c r="J292" s="46"/>
      <c r="K292" s="46"/>
      <c r="L292" s="46"/>
      <c r="M292" s="46"/>
      <c r="N292" s="46"/>
      <c r="O292" s="46"/>
      <c r="P292" s="46"/>
      <c r="Q292" s="46"/>
      <c r="R292" s="46"/>
      <c r="S292" s="46"/>
      <c r="T292" s="46"/>
      <c r="U292" s="46"/>
      <c r="V292" s="46"/>
      <c r="W292" s="46"/>
      <c r="X292" s="46"/>
      <c r="Y292" s="46"/>
      <c r="Z292" s="46"/>
      <c r="AA292" s="46"/>
      <c r="AB292" s="46"/>
      <c r="AC292" s="46"/>
      <c r="AD292" s="46"/>
      <c r="AE292" s="46"/>
    </row>
    <row r="293">
      <c r="A293" s="41"/>
      <c r="B293" s="11"/>
      <c r="C293" s="152"/>
      <c r="F293" s="156"/>
      <c r="G293" s="149"/>
      <c r="I293" s="157"/>
    </row>
    <row r="294">
      <c r="A294" s="158"/>
      <c r="C294" s="152"/>
      <c r="D294" s="139"/>
      <c r="F294" s="156"/>
      <c r="G294" s="149"/>
      <c r="I294" s="157"/>
    </row>
    <row r="295">
      <c r="A295" s="158"/>
      <c r="C295" s="152"/>
      <c r="F295" s="156"/>
      <c r="G295" s="149"/>
      <c r="I295" s="157"/>
    </row>
    <row r="296">
      <c r="A296" s="158"/>
      <c r="C296" s="152"/>
      <c r="D296" s="139"/>
      <c r="F296" s="156"/>
      <c r="G296" s="149"/>
      <c r="I296" s="157"/>
    </row>
    <row r="297">
      <c r="A297" s="158"/>
      <c r="C297" s="152"/>
      <c r="F297" s="156"/>
      <c r="G297" s="149"/>
      <c r="I297" s="157"/>
    </row>
    <row r="298">
      <c r="A298" s="158"/>
      <c r="C298" s="152"/>
      <c r="F298" s="156"/>
      <c r="G298" s="149"/>
      <c r="I298" s="157"/>
    </row>
    <row r="299">
      <c r="A299" s="158"/>
      <c r="C299" s="152"/>
      <c r="F299" s="156"/>
      <c r="G299" s="149"/>
      <c r="I299" s="157"/>
    </row>
    <row r="300">
      <c r="A300" s="158"/>
      <c r="C300" s="152"/>
      <c r="F300" s="156"/>
      <c r="G300" s="149"/>
      <c r="I300" s="157"/>
    </row>
    <row r="301">
      <c r="A301" s="158"/>
      <c r="C301" s="152"/>
      <c r="F301" s="156"/>
      <c r="G301" s="149"/>
      <c r="I301" s="157"/>
    </row>
    <row r="302">
      <c r="A302" s="158"/>
      <c r="C302" s="152"/>
      <c r="F302" s="156"/>
      <c r="G302" s="149"/>
      <c r="I302" s="157"/>
    </row>
    <row r="303">
      <c r="A303" s="158"/>
      <c r="C303" s="152"/>
      <c r="D303" s="152"/>
      <c r="E303" s="149"/>
      <c r="F303" s="156"/>
      <c r="G303" s="149"/>
      <c r="I303" s="157"/>
    </row>
    <row r="304">
      <c r="A304" s="158"/>
      <c r="C304" s="152"/>
      <c r="D304" s="152"/>
      <c r="E304" s="149"/>
      <c r="F304" s="156"/>
      <c r="G304" s="149"/>
      <c r="I304" s="157"/>
    </row>
    <row r="305">
      <c r="A305" s="158"/>
      <c r="C305" s="152"/>
      <c r="D305" s="152"/>
      <c r="E305" s="149"/>
      <c r="F305" s="156"/>
      <c r="G305" s="149"/>
      <c r="I305" s="157"/>
    </row>
    <row r="306">
      <c r="A306" s="158"/>
      <c r="C306" s="152"/>
      <c r="D306" s="152"/>
      <c r="E306" s="149"/>
      <c r="F306" s="156"/>
      <c r="G306" s="149"/>
      <c r="I306" s="157"/>
    </row>
    <row r="307">
      <c r="A307" s="158"/>
      <c r="C307" s="152"/>
      <c r="D307" s="152"/>
      <c r="E307" s="149"/>
      <c r="F307" s="156"/>
      <c r="G307" s="149"/>
      <c r="I307" s="157"/>
    </row>
    <row r="308">
      <c r="A308" s="158"/>
      <c r="C308" s="152"/>
      <c r="D308" s="152"/>
      <c r="E308" s="149"/>
      <c r="F308" s="156"/>
      <c r="G308" s="149"/>
      <c r="I308" s="157"/>
    </row>
    <row r="309">
      <c r="A309" s="158"/>
      <c r="C309" s="152"/>
      <c r="D309" s="152"/>
      <c r="E309" s="149"/>
      <c r="F309" s="156"/>
      <c r="G309" s="149"/>
      <c r="I309" s="157"/>
    </row>
    <row r="310">
      <c r="A310" s="158"/>
      <c r="C310" s="152"/>
      <c r="D310" s="152"/>
      <c r="E310" s="149"/>
      <c r="F310" s="156"/>
      <c r="G310" s="149"/>
      <c r="I310" s="157"/>
    </row>
    <row r="311">
      <c r="A311" s="158"/>
      <c r="C311" s="152"/>
      <c r="D311" s="152"/>
      <c r="E311" s="149"/>
      <c r="F311" s="156"/>
      <c r="G311" s="149"/>
      <c r="I311" s="157"/>
    </row>
    <row r="312">
      <c r="A312" s="158"/>
      <c r="C312" s="152"/>
      <c r="D312" s="152"/>
      <c r="E312" s="149"/>
      <c r="F312" s="156"/>
      <c r="G312" s="149"/>
      <c r="I312" s="157"/>
    </row>
    <row r="313">
      <c r="A313" s="158"/>
      <c r="C313" s="152"/>
      <c r="D313" s="152"/>
      <c r="E313" s="149"/>
      <c r="F313" s="156"/>
      <c r="G313" s="149"/>
      <c r="I313" s="157"/>
    </row>
    <row r="314">
      <c r="A314" s="158"/>
      <c r="C314" s="152"/>
      <c r="D314" s="152"/>
      <c r="E314" s="149"/>
      <c r="F314" s="156"/>
      <c r="G314" s="149"/>
      <c r="I314" s="157"/>
    </row>
    <row r="315">
      <c r="A315" s="158"/>
      <c r="C315" s="152"/>
      <c r="D315" s="152"/>
      <c r="E315" s="149"/>
      <c r="F315" s="156"/>
      <c r="G315" s="149"/>
      <c r="I315" s="157"/>
    </row>
    <row r="316">
      <c r="A316" s="158"/>
      <c r="C316" s="152"/>
      <c r="D316" s="152"/>
      <c r="E316" s="149"/>
      <c r="F316" s="156"/>
      <c r="G316" s="149"/>
      <c r="I316" s="157"/>
    </row>
    <row r="317">
      <c r="A317" s="158"/>
      <c r="C317" s="152"/>
      <c r="D317" s="152"/>
      <c r="E317" s="149"/>
      <c r="F317" s="156"/>
      <c r="G317" s="149"/>
      <c r="I317" s="157"/>
    </row>
    <row r="318">
      <c r="A318" s="158"/>
      <c r="C318" s="152"/>
      <c r="D318" s="152"/>
      <c r="E318" s="149"/>
      <c r="F318" s="156"/>
      <c r="G318" s="149"/>
      <c r="I318" s="157"/>
    </row>
    <row r="319">
      <c r="A319" s="158"/>
      <c r="C319" s="152"/>
      <c r="D319" s="152"/>
      <c r="E319" s="149"/>
      <c r="F319" s="156"/>
      <c r="G319" s="149"/>
      <c r="I319" s="157"/>
    </row>
    <row r="320">
      <c r="A320" s="158"/>
      <c r="C320" s="152"/>
      <c r="D320" s="152"/>
      <c r="E320" s="149"/>
      <c r="F320" s="156"/>
      <c r="G320" s="149"/>
      <c r="I320" s="157"/>
    </row>
    <row r="321">
      <c r="A321" s="158"/>
      <c r="C321" s="152"/>
      <c r="D321" s="152"/>
      <c r="E321" s="149"/>
      <c r="F321" s="156"/>
      <c r="G321" s="149"/>
      <c r="I321" s="157"/>
    </row>
    <row r="322">
      <c r="A322" s="158"/>
      <c r="C322" s="152"/>
      <c r="D322" s="152"/>
      <c r="E322" s="149"/>
      <c r="F322" s="156"/>
      <c r="G322" s="149"/>
      <c r="I322" s="157"/>
    </row>
    <row r="323">
      <c r="A323" s="158"/>
      <c r="C323" s="152"/>
      <c r="D323" s="152"/>
      <c r="E323" s="149"/>
      <c r="F323" s="156"/>
      <c r="G323" s="149"/>
      <c r="I323" s="157"/>
    </row>
    <row r="324">
      <c r="A324" s="158"/>
      <c r="C324" s="152"/>
      <c r="D324" s="152"/>
      <c r="E324" s="149"/>
      <c r="F324" s="156"/>
      <c r="G324" s="149"/>
      <c r="I324" s="157"/>
    </row>
    <row r="325">
      <c r="A325" s="158"/>
      <c r="C325" s="152"/>
      <c r="D325" s="152"/>
      <c r="E325" s="149"/>
      <c r="F325" s="156"/>
      <c r="G325" s="149"/>
      <c r="I325" s="157"/>
    </row>
    <row r="326">
      <c r="A326" s="158"/>
      <c r="C326" s="152"/>
      <c r="D326" s="152"/>
      <c r="E326" s="149"/>
      <c r="F326" s="156"/>
      <c r="G326" s="149"/>
      <c r="I326" s="157"/>
    </row>
    <row r="327">
      <c r="A327" s="158"/>
      <c r="C327" s="152"/>
      <c r="D327" s="152"/>
      <c r="E327" s="149"/>
      <c r="F327" s="156"/>
      <c r="G327" s="149"/>
      <c r="I327" s="157"/>
    </row>
    <row r="328">
      <c r="A328" s="158"/>
      <c r="C328" s="152"/>
      <c r="D328" s="152"/>
      <c r="E328" s="149"/>
      <c r="F328" s="156"/>
      <c r="G328" s="149"/>
      <c r="I328" s="157"/>
    </row>
    <row r="329">
      <c r="A329" s="158"/>
      <c r="C329" s="152"/>
      <c r="D329" s="152"/>
      <c r="E329" s="149"/>
      <c r="F329" s="156"/>
      <c r="G329" s="149"/>
      <c r="I329" s="157"/>
    </row>
    <row r="330">
      <c r="A330" s="158"/>
      <c r="C330" s="152"/>
      <c r="D330" s="152"/>
      <c r="E330" s="149"/>
      <c r="F330" s="156"/>
      <c r="G330" s="149"/>
      <c r="I330" s="157"/>
    </row>
    <row r="331">
      <c r="A331" s="158"/>
      <c r="C331" s="152"/>
      <c r="D331" s="152"/>
      <c r="E331" s="149"/>
      <c r="F331" s="156"/>
      <c r="G331" s="149"/>
      <c r="I331" s="157"/>
    </row>
    <row r="332">
      <c r="A332" s="158"/>
      <c r="C332" s="152"/>
      <c r="D332" s="152"/>
      <c r="E332" s="149"/>
      <c r="F332" s="156"/>
      <c r="G332" s="149"/>
      <c r="I332" s="157"/>
    </row>
    <row r="333">
      <c r="A333" s="158"/>
      <c r="C333" s="152"/>
      <c r="D333" s="152"/>
      <c r="E333" s="149"/>
      <c r="F333" s="156"/>
      <c r="G333" s="149"/>
      <c r="I333" s="157"/>
    </row>
    <row r="334">
      <c r="A334" s="158"/>
      <c r="C334" s="152"/>
      <c r="D334" s="152"/>
      <c r="E334" s="149"/>
      <c r="F334" s="156"/>
      <c r="G334" s="149"/>
      <c r="I334" s="157"/>
    </row>
    <row r="335">
      <c r="A335" s="158"/>
      <c r="C335" s="152"/>
      <c r="D335" s="152"/>
      <c r="E335" s="149"/>
      <c r="F335" s="156"/>
      <c r="G335" s="149"/>
      <c r="I335" s="157"/>
    </row>
    <row r="336">
      <c r="A336" s="158"/>
      <c r="C336" s="152"/>
      <c r="D336" s="152"/>
      <c r="E336" s="149"/>
      <c r="F336" s="156"/>
      <c r="G336" s="149"/>
      <c r="I336" s="157"/>
    </row>
    <row r="337">
      <c r="A337" s="158"/>
      <c r="C337" s="152"/>
      <c r="D337" s="152"/>
      <c r="E337" s="149"/>
      <c r="F337" s="156"/>
      <c r="G337" s="149"/>
      <c r="I337" s="157"/>
    </row>
    <row r="338">
      <c r="A338" s="158"/>
      <c r="C338" s="152"/>
      <c r="D338" s="152"/>
      <c r="E338" s="149"/>
      <c r="F338" s="156"/>
      <c r="G338" s="149"/>
      <c r="I338" s="157"/>
    </row>
    <row r="339">
      <c r="A339" s="158"/>
      <c r="C339" s="152"/>
      <c r="D339" s="152"/>
      <c r="E339" s="149"/>
      <c r="F339" s="156"/>
      <c r="G339" s="149"/>
      <c r="I339" s="157"/>
    </row>
    <row r="340">
      <c r="A340" s="158"/>
      <c r="C340" s="152"/>
      <c r="D340" s="152"/>
      <c r="E340" s="149"/>
      <c r="F340" s="156"/>
      <c r="G340" s="149"/>
      <c r="I340" s="157"/>
    </row>
    <row r="341">
      <c r="A341" s="158"/>
      <c r="C341" s="152"/>
      <c r="D341" s="152"/>
      <c r="E341" s="149"/>
      <c r="F341" s="156"/>
      <c r="G341" s="149"/>
      <c r="I341" s="157"/>
    </row>
    <row r="342">
      <c r="A342" s="158"/>
      <c r="C342" s="152"/>
      <c r="D342" s="152"/>
      <c r="E342" s="149"/>
      <c r="F342" s="156"/>
      <c r="G342" s="149"/>
      <c r="I342" s="157"/>
    </row>
    <row r="343">
      <c r="A343" s="158"/>
      <c r="C343" s="152"/>
      <c r="D343" s="152"/>
      <c r="E343" s="149"/>
      <c r="F343" s="156"/>
      <c r="G343" s="149"/>
      <c r="I343" s="157"/>
    </row>
    <row r="344">
      <c r="A344" s="158"/>
      <c r="C344" s="152"/>
      <c r="D344" s="152"/>
      <c r="E344" s="149"/>
      <c r="F344" s="156"/>
      <c r="G344" s="149"/>
      <c r="I344" s="157"/>
    </row>
    <row r="345">
      <c r="A345" s="158"/>
      <c r="C345" s="152"/>
      <c r="D345" s="152"/>
      <c r="E345" s="149"/>
      <c r="F345" s="156"/>
      <c r="G345" s="149"/>
      <c r="I345" s="157"/>
    </row>
    <row r="346">
      <c r="A346" s="158"/>
      <c r="C346" s="152"/>
      <c r="D346" s="152"/>
      <c r="E346" s="149"/>
      <c r="F346" s="156"/>
      <c r="G346" s="149"/>
      <c r="I346" s="157"/>
    </row>
    <row r="347">
      <c r="A347" s="158"/>
      <c r="C347" s="152"/>
      <c r="D347" s="152"/>
      <c r="E347" s="149"/>
      <c r="F347" s="156"/>
      <c r="G347" s="149"/>
      <c r="I347" s="157"/>
    </row>
    <row r="348">
      <c r="A348" s="158"/>
      <c r="C348" s="152"/>
      <c r="D348" s="152"/>
      <c r="E348" s="149"/>
      <c r="F348" s="156"/>
      <c r="G348" s="149"/>
      <c r="I348" s="157"/>
    </row>
    <row r="349">
      <c r="A349" s="158"/>
      <c r="C349" s="152"/>
      <c r="D349" s="152"/>
      <c r="E349" s="149"/>
      <c r="F349" s="156"/>
      <c r="G349" s="149"/>
      <c r="I349" s="157"/>
    </row>
    <row r="350">
      <c r="A350" s="158"/>
      <c r="C350" s="152"/>
      <c r="D350" s="152"/>
      <c r="E350" s="149"/>
      <c r="F350" s="156"/>
      <c r="G350" s="149"/>
      <c r="I350" s="157"/>
    </row>
    <row r="351">
      <c r="A351" s="158"/>
      <c r="C351" s="152"/>
      <c r="D351" s="152"/>
      <c r="E351" s="149"/>
      <c r="F351" s="156"/>
      <c r="G351" s="149"/>
      <c r="I351" s="157"/>
    </row>
    <row r="352">
      <c r="A352" s="158"/>
      <c r="C352" s="152"/>
      <c r="D352" s="152"/>
      <c r="E352" s="149"/>
      <c r="F352" s="156"/>
      <c r="G352" s="149"/>
      <c r="I352" s="157"/>
    </row>
    <row r="353">
      <c r="A353" s="158"/>
      <c r="C353" s="152"/>
      <c r="D353" s="152"/>
      <c r="E353" s="149"/>
      <c r="F353" s="156"/>
      <c r="G353" s="149"/>
      <c r="I353" s="157"/>
    </row>
    <row r="354">
      <c r="A354" s="158"/>
      <c r="C354" s="152"/>
      <c r="D354" s="152"/>
      <c r="E354" s="149"/>
      <c r="F354" s="156"/>
      <c r="G354" s="149"/>
      <c r="I354" s="157"/>
    </row>
    <row r="355">
      <c r="A355" s="158"/>
      <c r="C355" s="152"/>
      <c r="D355" s="152"/>
      <c r="E355" s="149"/>
      <c r="F355" s="156"/>
      <c r="G355" s="149"/>
      <c r="I355" s="157"/>
    </row>
    <row r="356">
      <c r="A356" s="158"/>
      <c r="C356" s="152"/>
      <c r="D356" s="152"/>
      <c r="E356" s="149"/>
      <c r="F356" s="156"/>
      <c r="G356" s="149"/>
      <c r="I356" s="157"/>
    </row>
    <row r="357">
      <c r="A357" s="158"/>
      <c r="C357" s="152"/>
      <c r="D357" s="152"/>
      <c r="E357" s="149"/>
      <c r="F357" s="156"/>
      <c r="G357" s="149"/>
      <c r="I357" s="157"/>
    </row>
    <row r="358">
      <c r="A358" s="158"/>
      <c r="C358" s="152"/>
      <c r="D358" s="152"/>
      <c r="E358" s="149"/>
      <c r="F358" s="156"/>
      <c r="G358" s="149"/>
      <c r="I358" s="157"/>
    </row>
    <row r="359">
      <c r="A359" s="158"/>
      <c r="C359" s="152"/>
      <c r="D359" s="152"/>
      <c r="E359" s="149"/>
      <c r="F359" s="156"/>
      <c r="G359" s="149"/>
      <c r="I359" s="157"/>
    </row>
    <row r="360">
      <c r="A360" s="158"/>
      <c r="C360" s="152"/>
      <c r="D360" s="152"/>
      <c r="E360" s="149"/>
      <c r="F360" s="156"/>
      <c r="G360" s="149"/>
      <c r="I360" s="157"/>
    </row>
    <row r="361">
      <c r="A361" s="158"/>
      <c r="C361" s="152"/>
      <c r="D361" s="152"/>
      <c r="E361" s="149"/>
      <c r="F361" s="156"/>
      <c r="G361" s="149"/>
      <c r="I361" s="157"/>
    </row>
    <row r="362">
      <c r="A362" s="158"/>
      <c r="C362" s="152"/>
      <c r="D362" s="152"/>
      <c r="E362" s="149"/>
      <c r="F362" s="156"/>
      <c r="G362" s="149"/>
      <c r="I362" s="157"/>
    </row>
    <row r="363">
      <c r="A363" s="158"/>
      <c r="C363" s="152"/>
      <c r="D363" s="152"/>
      <c r="E363" s="149"/>
      <c r="F363" s="156"/>
      <c r="G363" s="149"/>
      <c r="I363" s="157"/>
    </row>
    <row r="364">
      <c r="A364" s="158"/>
      <c r="C364" s="152"/>
      <c r="D364" s="152"/>
      <c r="E364" s="149"/>
      <c r="F364" s="156"/>
      <c r="G364" s="149"/>
      <c r="I364" s="157"/>
    </row>
    <row r="365">
      <c r="A365" s="158"/>
      <c r="C365" s="152"/>
      <c r="D365" s="152"/>
      <c r="E365" s="149"/>
      <c r="F365" s="156"/>
      <c r="G365" s="149"/>
      <c r="I365" s="157"/>
    </row>
    <row r="366">
      <c r="A366" s="158"/>
      <c r="C366" s="152"/>
      <c r="D366" s="152"/>
      <c r="E366" s="149"/>
      <c r="F366" s="156"/>
      <c r="G366" s="149"/>
      <c r="I366" s="157"/>
    </row>
    <row r="367">
      <c r="A367" s="158"/>
      <c r="C367" s="152"/>
      <c r="D367" s="152"/>
      <c r="E367" s="149"/>
      <c r="F367" s="156"/>
      <c r="G367" s="149"/>
      <c r="I367" s="157"/>
    </row>
    <row r="368">
      <c r="A368" s="158"/>
      <c r="C368" s="152"/>
      <c r="D368" s="152"/>
      <c r="E368" s="149"/>
      <c r="F368" s="156"/>
      <c r="G368" s="149"/>
      <c r="I368" s="157"/>
    </row>
    <row r="369">
      <c r="A369" s="158"/>
      <c r="C369" s="152"/>
      <c r="D369" s="152"/>
      <c r="E369" s="149"/>
      <c r="F369" s="156"/>
      <c r="G369" s="149"/>
      <c r="I369" s="157"/>
    </row>
    <row r="370">
      <c r="A370" s="158"/>
      <c r="C370" s="152"/>
      <c r="D370" s="152"/>
      <c r="E370" s="149"/>
      <c r="F370" s="156"/>
      <c r="G370" s="149"/>
      <c r="I370" s="157"/>
    </row>
    <row r="371">
      <c r="A371" s="158"/>
      <c r="C371" s="152"/>
      <c r="D371" s="152"/>
      <c r="E371" s="149"/>
      <c r="F371" s="156"/>
      <c r="G371" s="149"/>
      <c r="I371" s="157"/>
    </row>
    <row r="372">
      <c r="A372" s="158"/>
      <c r="C372" s="152"/>
      <c r="D372" s="152"/>
      <c r="E372" s="149"/>
      <c r="F372" s="156"/>
      <c r="G372" s="149"/>
      <c r="I372" s="157"/>
    </row>
    <row r="373">
      <c r="A373" s="158"/>
      <c r="C373" s="152"/>
      <c r="D373" s="152"/>
      <c r="E373" s="149"/>
      <c r="F373" s="156"/>
      <c r="G373" s="149"/>
      <c r="I373" s="157"/>
    </row>
    <row r="374">
      <c r="A374" s="158"/>
      <c r="C374" s="152"/>
      <c r="D374" s="152"/>
      <c r="E374" s="149"/>
      <c r="F374" s="156"/>
      <c r="G374" s="149"/>
      <c r="I374" s="157"/>
    </row>
    <row r="375">
      <c r="A375" s="158"/>
      <c r="C375" s="152"/>
      <c r="D375" s="152"/>
      <c r="E375" s="149"/>
      <c r="F375" s="156"/>
      <c r="G375" s="149"/>
      <c r="I375" s="157"/>
    </row>
    <row r="376">
      <c r="A376" s="158"/>
      <c r="C376" s="152"/>
      <c r="D376" s="152"/>
      <c r="E376" s="149"/>
      <c r="F376" s="156"/>
      <c r="G376" s="149"/>
      <c r="I376" s="157"/>
    </row>
    <row r="377">
      <c r="A377" s="158"/>
      <c r="C377" s="152"/>
      <c r="D377" s="152"/>
      <c r="E377" s="149"/>
      <c r="F377" s="156"/>
      <c r="G377" s="149"/>
      <c r="I377" s="157"/>
    </row>
    <row r="378">
      <c r="A378" s="158"/>
      <c r="C378" s="152"/>
      <c r="D378" s="152"/>
      <c r="E378" s="149"/>
      <c r="F378" s="156"/>
      <c r="G378" s="149"/>
      <c r="I378" s="157"/>
    </row>
    <row r="379">
      <c r="A379" s="158"/>
      <c r="C379" s="152"/>
      <c r="D379" s="152"/>
      <c r="E379" s="149"/>
      <c r="F379" s="156"/>
      <c r="G379" s="149"/>
      <c r="I379" s="157"/>
    </row>
    <row r="380">
      <c r="A380" s="158"/>
      <c r="C380" s="152"/>
      <c r="D380" s="152"/>
      <c r="E380" s="149"/>
      <c r="F380" s="156"/>
      <c r="G380" s="149"/>
      <c r="I380" s="157"/>
    </row>
    <row r="381">
      <c r="A381" s="158"/>
      <c r="C381" s="152"/>
      <c r="D381" s="152"/>
      <c r="E381" s="149"/>
      <c r="F381" s="156"/>
      <c r="G381" s="149"/>
      <c r="I381" s="157"/>
    </row>
    <row r="382">
      <c r="A382" s="158"/>
      <c r="C382" s="152"/>
      <c r="D382" s="152"/>
      <c r="E382" s="149"/>
      <c r="F382" s="156"/>
      <c r="G382" s="149"/>
      <c r="I382" s="157"/>
    </row>
    <row r="383">
      <c r="A383" s="158"/>
      <c r="C383" s="152"/>
      <c r="D383" s="152"/>
      <c r="E383" s="149"/>
      <c r="F383" s="156"/>
      <c r="G383" s="149"/>
      <c r="I383" s="157"/>
    </row>
    <row r="384">
      <c r="A384" s="158"/>
      <c r="C384" s="152"/>
      <c r="D384" s="152"/>
      <c r="E384" s="149"/>
      <c r="F384" s="156"/>
      <c r="G384" s="149"/>
      <c r="I384" s="157"/>
    </row>
    <row r="385">
      <c r="A385" s="158"/>
      <c r="C385" s="152"/>
      <c r="D385" s="152"/>
      <c r="E385" s="149"/>
      <c r="F385" s="156"/>
      <c r="G385" s="149"/>
      <c r="I385" s="157"/>
    </row>
    <row r="386">
      <c r="A386" s="158"/>
      <c r="C386" s="152"/>
      <c r="D386" s="152"/>
      <c r="E386" s="149"/>
      <c r="F386" s="156"/>
      <c r="G386" s="149"/>
      <c r="I386" s="157"/>
    </row>
    <row r="387">
      <c r="A387" s="158"/>
      <c r="C387" s="152"/>
      <c r="D387" s="152"/>
      <c r="E387" s="149"/>
      <c r="F387" s="156"/>
      <c r="G387" s="149"/>
      <c r="I387" s="157"/>
    </row>
    <row r="388">
      <c r="A388" s="158"/>
      <c r="C388" s="152"/>
      <c r="D388" s="152"/>
      <c r="E388" s="149"/>
      <c r="F388" s="156"/>
      <c r="G388" s="149"/>
      <c r="I388" s="157"/>
    </row>
    <row r="389">
      <c r="A389" s="158"/>
      <c r="C389" s="152"/>
      <c r="D389" s="152"/>
      <c r="E389" s="149"/>
      <c r="F389" s="156"/>
      <c r="G389" s="149"/>
      <c r="I389" s="157"/>
    </row>
    <row r="390">
      <c r="A390" s="158"/>
      <c r="C390" s="152"/>
      <c r="D390" s="152"/>
      <c r="E390" s="149"/>
      <c r="F390" s="156"/>
      <c r="G390" s="149"/>
      <c r="I390" s="157"/>
    </row>
    <row r="391">
      <c r="A391" s="158"/>
      <c r="C391" s="152"/>
      <c r="D391" s="152"/>
      <c r="E391" s="149"/>
      <c r="F391" s="156"/>
      <c r="G391" s="149"/>
      <c r="I391" s="157"/>
    </row>
    <row r="392">
      <c r="A392" s="158"/>
      <c r="C392" s="152"/>
      <c r="D392" s="152"/>
      <c r="E392" s="149"/>
      <c r="F392" s="156"/>
      <c r="G392" s="149"/>
      <c r="I392" s="157"/>
    </row>
    <row r="393">
      <c r="A393" s="158"/>
      <c r="C393" s="152"/>
      <c r="D393" s="152"/>
      <c r="E393" s="149"/>
      <c r="F393" s="156"/>
      <c r="G393" s="149"/>
      <c r="I393" s="157"/>
    </row>
    <row r="394">
      <c r="A394" s="158"/>
      <c r="C394" s="152"/>
      <c r="D394" s="152"/>
      <c r="E394" s="149"/>
      <c r="F394" s="156"/>
      <c r="G394" s="149"/>
      <c r="I394" s="157"/>
    </row>
    <row r="395">
      <c r="A395" s="158"/>
      <c r="C395" s="152"/>
      <c r="D395" s="152"/>
      <c r="E395" s="149"/>
      <c r="F395" s="156"/>
      <c r="G395" s="149"/>
      <c r="I395" s="157"/>
    </row>
    <row r="396">
      <c r="A396" s="158"/>
      <c r="C396" s="152"/>
      <c r="D396" s="152"/>
      <c r="E396" s="149"/>
      <c r="F396" s="156"/>
      <c r="G396" s="149"/>
      <c r="I396" s="157"/>
    </row>
    <row r="397">
      <c r="A397" s="158"/>
      <c r="C397" s="152"/>
      <c r="D397" s="152"/>
      <c r="E397" s="149"/>
      <c r="F397" s="156"/>
      <c r="G397" s="149"/>
      <c r="I397" s="157"/>
    </row>
    <row r="398">
      <c r="A398" s="158"/>
      <c r="C398" s="152"/>
      <c r="D398" s="152"/>
      <c r="E398" s="149"/>
      <c r="F398" s="156"/>
      <c r="G398" s="149"/>
      <c r="I398" s="157"/>
    </row>
    <row r="399">
      <c r="A399" s="158"/>
      <c r="C399" s="152"/>
      <c r="D399" s="152"/>
      <c r="E399" s="149"/>
      <c r="F399" s="156"/>
      <c r="G399" s="149"/>
      <c r="I399" s="157"/>
    </row>
    <row r="400">
      <c r="A400" s="158"/>
      <c r="C400" s="152"/>
      <c r="D400" s="152"/>
      <c r="E400" s="149"/>
      <c r="F400" s="156"/>
      <c r="G400" s="149"/>
      <c r="I400" s="157"/>
    </row>
    <row r="401">
      <c r="A401" s="158"/>
      <c r="C401" s="152"/>
      <c r="D401" s="152"/>
      <c r="E401" s="149"/>
      <c r="F401" s="156"/>
      <c r="G401" s="149"/>
      <c r="I401" s="157"/>
    </row>
    <row r="402">
      <c r="A402" s="158"/>
      <c r="C402" s="152"/>
      <c r="D402" s="152"/>
      <c r="E402" s="149"/>
      <c r="F402" s="156"/>
      <c r="G402" s="149"/>
      <c r="I402" s="157"/>
    </row>
    <row r="403">
      <c r="A403" s="158"/>
      <c r="C403" s="152"/>
      <c r="D403" s="152"/>
      <c r="E403" s="149"/>
      <c r="F403" s="156"/>
      <c r="G403" s="149"/>
      <c r="I403" s="157"/>
    </row>
    <row r="404">
      <c r="A404" s="158"/>
      <c r="C404" s="152"/>
      <c r="D404" s="152"/>
      <c r="E404" s="149"/>
      <c r="F404" s="156"/>
      <c r="G404" s="149"/>
      <c r="I404" s="157"/>
    </row>
    <row r="405">
      <c r="A405" s="158"/>
      <c r="C405" s="152"/>
      <c r="D405" s="152"/>
      <c r="E405" s="149"/>
      <c r="F405" s="156"/>
      <c r="G405" s="149"/>
      <c r="I405" s="157"/>
    </row>
    <row r="406">
      <c r="A406" s="158"/>
      <c r="C406" s="152"/>
      <c r="D406" s="152"/>
      <c r="E406" s="149"/>
      <c r="F406" s="156"/>
      <c r="G406" s="149"/>
      <c r="I406" s="157"/>
    </row>
    <row r="407">
      <c r="A407" s="158"/>
      <c r="C407" s="152"/>
      <c r="D407" s="152"/>
      <c r="E407" s="149"/>
      <c r="F407" s="156"/>
      <c r="G407" s="149"/>
      <c r="I407" s="157"/>
    </row>
    <row r="408">
      <c r="A408" s="158"/>
      <c r="C408" s="152"/>
      <c r="D408" s="152"/>
      <c r="E408" s="149"/>
      <c r="F408" s="156"/>
      <c r="G408" s="149"/>
      <c r="I408" s="157"/>
    </row>
    <row r="409">
      <c r="A409" s="158"/>
      <c r="C409" s="152"/>
      <c r="D409" s="152"/>
      <c r="E409" s="149"/>
      <c r="F409" s="156"/>
      <c r="G409" s="149"/>
      <c r="I409" s="157"/>
    </row>
    <row r="410">
      <c r="A410" s="158"/>
      <c r="C410" s="152"/>
      <c r="D410" s="152"/>
      <c r="E410" s="149"/>
      <c r="F410" s="156"/>
      <c r="G410" s="149"/>
      <c r="I410" s="157"/>
    </row>
    <row r="411">
      <c r="A411" s="158"/>
      <c r="C411" s="152"/>
      <c r="D411" s="152"/>
      <c r="E411" s="149"/>
      <c r="F411" s="156"/>
      <c r="G411" s="149"/>
      <c r="I411" s="157"/>
    </row>
    <row r="412">
      <c r="A412" s="158"/>
      <c r="C412" s="152"/>
      <c r="D412" s="152"/>
      <c r="E412" s="149"/>
      <c r="F412" s="156"/>
      <c r="G412" s="149"/>
      <c r="I412" s="157"/>
    </row>
    <row r="413">
      <c r="A413" s="158"/>
      <c r="C413" s="152"/>
      <c r="D413" s="152"/>
      <c r="E413" s="149"/>
      <c r="F413" s="156"/>
      <c r="G413" s="149"/>
      <c r="I413" s="157"/>
    </row>
    <row r="414">
      <c r="A414" s="158"/>
      <c r="C414" s="152"/>
      <c r="D414" s="152"/>
      <c r="E414" s="149"/>
      <c r="F414" s="156"/>
      <c r="G414" s="149"/>
      <c r="I414" s="157"/>
    </row>
    <row r="415">
      <c r="A415" s="158"/>
      <c r="C415" s="152"/>
      <c r="D415" s="152"/>
      <c r="E415" s="149"/>
      <c r="F415" s="156"/>
      <c r="G415" s="149"/>
      <c r="I415" s="157"/>
    </row>
    <row r="416">
      <c r="A416" s="158"/>
      <c r="C416" s="152"/>
      <c r="D416" s="152"/>
      <c r="E416" s="149"/>
      <c r="F416" s="156"/>
      <c r="G416" s="149"/>
      <c r="I416" s="157"/>
    </row>
    <row r="417">
      <c r="A417" s="158"/>
      <c r="C417" s="152"/>
      <c r="D417" s="152"/>
      <c r="E417" s="149"/>
      <c r="F417" s="156"/>
      <c r="G417" s="149"/>
      <c r="I417" s="157"/>
    </row>
    <row r="418">
      <c r="A418" s="158"/>
      <c r="C418" s="152"/>
      <c r="D418" s="152"/>
      <c r="E418" s="149"/>
      <c r="F418" s="156"/>
      <c r="G418" s="149"/>
      <c r="I418" s="157"/>
    </row>
    <row r="419">
      <c r="A419" s="158"/>
      <c r="C419" s="152"/>
      <c r="D419" s="152"/>
      <c r="E419" s="149"/>
      <c r="F419" s="156"/>
      <c r="G419" s="149"/>
      <c r="I419" s="157"/>
    </row>
    <row r="420">
      <c r="A420" s="158"/>
      <c r="C420" s="152"/>
      <c r="D420" s="152"/>
      <c r="E420" s="149"/>
      <c r="F420" s="156"/>
      <c r="G420" s="149"/>
      <c r="I420" s="157"/>
    </row>
    <row r="421">
      <c r="A421" s="158"/>
      <c r="C421" s="152"/>
      <c r="D421" s="152"/>
      <c r="E421" s="149"/>
      <c r="F421" s="156"/>
      <c r="G421" s="149"/>
      <c r="I421" s="157"/>
    </row>
    <row r="422">
      <c r="A422" s="158"/>
      <c r="C422" s="152"/>
      <c r="D422" s="152"/>
      <c r="E422" s="149"/>
      <c r="F422" s="156"/>
      <c r="G422" s="149"/>
      <c r="I422" s="157"/>
    </row>
    <row r="423">
      <c r="A423" s="158"/>
      <c r="C423" s="152"/>
      <c r="D423" s="152"/>
      <c r="E423" s="149"/>
      <c r="F423" s="156"/>
      <c r="G423" s="149"/>
      <c r="I423" s="157"/>
    </row>
    <row r="424">
      <c r="A424" s="158"/>
      <c r="C424" s="152"/>
      <c r="D424" s="152"/>
      <c r="E424" s="149"/>
      <c r="F424" s="156"/>
      <c r="G424" s="149"/>
      <c r="I424" s="157"/>
    </row>
    <row r="425">
      <c r="A425" s="158"/>
      <c r="C425" s="152"/>
      <c r="D425" s="152"/>
      <c r="E425" s="149"/>
      <c r="F425" s="156"/>
      <c r="G425" s="149"/>
      <c r="I425" s="157"/>
    </row>
    <row r="426">
      <c r="A426" s="158"/>
      <c r="C426" s="152"/>
      <c r="D426" s="152"/>
      <c r="E426" s="149"/>
      <c r="F426" s="156"/>
      <c r="G426" s="149"/>
      <c r="I426" s="157"/>
    </row>
    <row r="427">
      <c r="A427" s="158"/>
      <c r="C427" s="152"/>
      <c r="D427" s="152"/>
      <c r="E427" s="149"/>
      <c r="F427" s="156"/>
      <c r="G427" s="149"/>
      <c r="I427" s="157"/>
    </row>
    <row r="428">
      <c r="A428" s="158"/>
      <c r="C428" s="152"/>
      <c r="D428" s="152"/>
      <c r="E428" s="149"/>
      <c r="F428" s="156"/>
      <c r="G428" s="149"/>
      <c r="I428" s="157"/>
    </row>
    <row r="429">
      <c r="A429" s="158"/>
      <c r="C429" s="152"/>
      <c r="D429" s="152"/>
      <c r="E429" s="149"/>
      <c r="F429" s="156"/>
      <c r="G429" s="149"/>
      <c r="I429" s="157"/>
    </row>
    <row r="430">
      <c r="A430" s="158"/>
      <c r="C430" s="152"/>
      <c r="D430" s="152"/>
      <c r="E430" s="149"/>
      <c r="F430" s="156"/>
      <c r="G430" s="149"/>
      <c r="I430" s="157"/>
    </row>
    <row r="431">
      <c r="A431" s="158"/>
      <c r="C431" s="152"/>
      <c r="D431" s="152"/>
      <c r="E431" s="149"/>
      <c r="F431" s="156"/>
      <c r="G431" s="149"/>
      <c r="I431" s="157"/>
    </row>
    <row r="432">
      <c r="A432" s="158"/>
      <c r="C432" s="152"/>
      <c r="D432" s="152"/>
      <c r="E432" s="149"/>
      <c r="F432" s="156"/>
      <c r="G432" s="149"/>
      <c r="I432" s="157"/>
    </row>
    <row r="433">
      <c r="A433" s="158"/>
      <c r="C433" s="152"/>
      <c r="D433" s="152"/>
      <c r="E433" s="149"/>
      <c r="F433" s="156"/>
      <c r="G433" s="149"/>
      <c r="I433" s="157"/>
    </row>
    <row r="434">
      <c r="A434" s="158"/>
      <c r="C434" s="152"/>
      <c r="D434" s="152"/>
      <c r="E434" s="149"/>
      <c r="F434" s="156"/>
      <c r="G434" s="149"/>
      <c r="I434" s="157"/>
    </row>
    <row r="435">
      <c r="A435" s="158"/>
      <c r="C435" s="152"/>
      <c r="D435" s="152"/>
      <c r="E435" s="149"/>
      <c r="F435" s="156"/>
      <c r="G435" s="149"/>
      <c r="I435" s="157"/>
    </row>
    <row r="436">
      <c r="A436" s="158"/>
      <c r="C436" s="152"/>
      <c r="D436" s="152"/>
      <c r="E436" s="149"/>
      <c r="F436" s="156"/>
      <c r="G436" s="149"/>
      <c r="I436" s="157"/>
    </row>
    <row r="437">
      <c r="A437" s="158"/>
      <c r="C437" s="152"/>
      <c r="D437" s="152"/>
      <c r="E437" s="149"/>
      <c r="F437" s="156"/>
      <c r="G437" s="149"/>
      <c r="I437" s="157"/>
    </row>
    <row r="438">
      <c r="A438" s="158"/>
      <c r="C438" s="152"/>
      <c r="D438" s="152"/>
      <c r="E438" s="149"/>
      <c r="F438" s="156"/>
      <c r="G438" s="149"/>
      <c r="I438" s="157"/>
    </row>
    <row r="439">
      <c r="A439" s="158"/>
      <c r="C439" s="152"/>
      <c r="D439" s="152"/>
      <c r="E439" s="149"/>
      <c r="F439" s="156"/>
      <c r="G439" s="149"/>
      <c r="I439" s="157"/>
    </row>
    <row r="440">
      <c r="A440" s="158"/>
      <c r="C440" s="152"/>
      <c r="D440" s="152"/>
      <c r="E440" s="149"/>
      <c r="F440" s="156"/>
      <c r="G440" s="149"/>
      <c r="I440" s="157"/>
    </row>
    <row r="441">
      <c r="A441" s="158"/>
      <c r="C441" s="152"/>
      <c r="D441" s="152"/>
      <c r="E441" s="149"/>
      <c r="F441" s="156"/>
      <c r="G441" s="149"/>
      <c r="I441" s="157"/>
    </row>
    <row r="442">
      <c r="A442" s="158"/>
      <c r="C442" s="152"/>
      <c r="D442" s="152"/>
      <c r="E442" s="149"/>
      <c r="F442" s="156"/>
      <c r="G442" s="149"/>
      <c r="I442" s="157"/>
    </row>
    <row r="443">
      <c r="A443" s="158"/>
      <c r="C443" s="152"/>
      <c r="D443" s="152"/>
      <c r="E443" s="149"/>
      <c r="F443" s="156"/>
      <c r="G443" s="149"/>
      <c r="I443" s="157"/>
    </row>
    <row r="444">
      <c r="A444" s="158"/>
      <c r="C444" s="152"/>
      <c r="D444" s="152"/>
      <c r="E444" s="149"/>
      <c r="F444" s="156"/>
      <c r="G444" s="149"/>
      <c r="I444" s="157"/>
    </row>
    <row r="445">
      <c r="A445" s="158"/>
      <c r="C445" s="152"/>
      <c r="D445" s="152"/>
      <c r="E445" s="149"/>
      <c r="F445" s="156"/>
      <c r="G445" s="149"/>
      <c r="I445" s="157"/>
    </row>
    <row r="446">
      <c r="A446" s="158"/>
      <c r="C446" s="152"/>
      <c r="D446" s="152"/>
      <c r="E446" s="149"/>
      <c r="F446" s="156"/>
      <c r="G446" s="149"/>
      <c r="I446" s="157"/>
    </row>
    <row r="447">
      <c r="A447" s="158"/>
      <c r="C447" s="152"/>
      <c r="D447" s="152"/>
      <c r="E447" s="149"/>
      <c r="F447" s="156"/>
      <c r="G447" s="149"/>
      <c r="I447" s="157"/>
    </row>
    <row r="448">
      <c r="A448" s="158"/>
      <c r="C448" s="152"/>
      <c r="D448" s="152"/>
      <c r="E448" s="149"/>
      <c r="F448" s="156"/>
      <c r="G448" s="149"/>
      <c r="I448" s="157"/>
    </row>
    <row r="449">
      <c r="A449" s="158"/>
      <c r="C449" s="152"/>
      <c r="D449" s="152"/>
      <c r="E449" s="149"/>
      <c r="F449" s="156"/>
      <c r="G449" s="149"/>
      <c r="I449" s="157"/>
    </row>
    <row r="450">
      <c r="A450" s="158"/>
      <c r="C450" s="152"/>
      <c r="D450" s="152"/>
      <c r="E450" s="149"/>
      <c r="F450" s="156"/>
      <c r="G450" s="149"/>
      <c r="I450" s="157"/>
    </row>
    <row r="451">
      <c r="A451" s="158"/>
      <c r="C451" s="152"/>
      <c r="D451" s="152"/>
      <c r="E451" s="149"/>
      <c r="F451" s="156"/>
      <c r="G451" s="149"/>
      <c r="I451" s="157"/>
    </row>
    <row r="452">
      <c r="A452" s="158"/>
      <c r="C452" s="152"/>
      <c r="D452" s="152"/>
      <c r="E452" s="149"/>
      <c r="F452" s="156"/>
      <c r="G452" s="149"/>
      <c r="I452" s="157"/>
    </row>
    <row r="453">
      <c r="A453" s="158"/>
      <c r="C453" s="152"/>
      <c r="D453" s="152"/>
      <c r="E453" s="149"/>
      <c r="F453" s="156"/>
      <c r="G453" s="149"/>
      <c r="I453" s="157"/>
    </row>
    <row r="454">
      <c r="A454" s="158"/>
      <c r="C454" s="152"/>
      <c r="D454" s="152"/>
      <c r="E454" s="149"/>
      <c r="F454" s="156"/>
      <c r="G454" s="149"/>
      <c r="I454" s="157"/>
    </row>
    <row r="455">
      <c r="A455" s="158"/>
      <c r="C455" s="152"/>
      <c r="D455" s="152"/>
      <c r="E455" s="149"/>
      <c r="F455" s="156"/>
      <c r="G455" s="149"/>
      <c r="I455" s="157"/>
    </row>
    <row r="456">
      <c r="A456" s="158"/>
      <c r="C456" s="152"/>
      <c r="D456" s="152"/>
      <c r="E456" s="149"/>
      <c r="F456" s="156"/>
      <c r="G456" s="149"/>
      <c r="I456" s="157"/>
    </row>
    <row r="457">
      <c r="A457" s="158"/>
      <c r="C457" s="152"/>
      <c r="D457" s="152"/>
      <c r="E457" s="149"/>
      <c r="F457" s="156"/>
      <c r="G457" s="149"/>
      <c r="I457" s="157"/>
    </row>
    <row r="458">
      <c r="A458" s="158"/>
      <c r="C458" s="152"/>
      <c r="D458" s="152"/>
      <c r="E458" s="149"/>
      <c r="F458" s="156"/>
      <c r="G458" s="149"/>
      <c r="I458" s="157"/>
    </row>
    <row r="459">
      <c r="A459" s="158"/>
      <c r="C459" s="152"/>
      <c r="D459" s="152"/>
      <c r="E459" s="149"/>
      <c r="F459" s="156"/>
      <c r="G459" s="149"/>
      <c r="I459" s="157"/>
    </row>
    <row r="460">
      <c r="A460" s="158"/>
      <c r="C460" s="152"/>
      <c r="D460" s="152"/>
      <c r="E460" s="149"/>
      <c r="F460" s="156"/>
      <c r="G460" s="149"/>
      <c r="I460" s="157"/>
    </row>
    <row r="461">
      <c r="A461" s="158"/>
      <c r="C461" s="152"/>
      <c r="D461" s="152"/>
      <c r="E461" s="149"/>
      <c r="F461" s="156"/>
      <c r="G461" s="149"/>
      <c r="I461" s="157"/>
    </row>
    <row r="462">
      <c r="A462" s="158"/>
      <c r="C462" s="152"/>
      <c r="D462" s="152"/>
      <c r="E462" s="149"/>
      <c r="F462" s="156"/>
      <c r="G462" s="149"/>
      <c r="I462" s="157"/>
    </row>
    <row r="463">
      <c r="A463" s="158"/>
      <c r="C463" s="152"/>
      <c r="D463" s="152"/>
      <c r="E463" s="149"/>
      <c r="F463" s="156"/>
      <c r="G463" s="149"/>
      <c r="I463" s="157"/>
    </row>
    <row r="464">
      <c r="A464" s="158"/>
      <c r="C464" s="152"/>
      <c r="D464" s="152"/>
      <c r="E464" s="149"/>
      <c r="F464" s="156"/>
      <c r="G464" s="149"/>
      <c r="I464" s="157"/>
    </row>
    <row r="465">
      <c r="A465" s="158"/>
      <c r="C465" s="152"/>
      <c r="D465" s="152"/>
      <c r="E465" s="149"/>
      <c r="F465" s="156"/>
      <c r="G465" s="149"/>
      <c r="I465" s="157"/>
    </row>
    <row r="466">
      <c r="A466" s="158"/>
      <c r="C466" s="152"/>
      <c r="D466" s="152"/>
      <c r="E466" s="149"/>
      <c r="F466" s="156"/>
      <c r="G466" s="149"/>
      <c r="I466" s="157"/>
    </row>
    <row r="467">
      <c r="A467" s="158"/>
      <c r="C467" s="152"/>
      <c r="D467" s="152"/>
      <c r="E467" s="149"/>
      <c r="F467" s="156"/>
      <c r="G467" s="149"/>
      <c r="I467" s="157"/>
    </row>
    <row r="468">
      <c r="A468" s="158"/>
      <c r="C468" s="152"/>
      <c r="D468" s="152"/>
      <c r="E468" s="149"/>
      <c r="F468" s="156"/>
      <c r="G468" s="149"/>
      <c r="I468" s="157"/>
    </row>
    <row r="469">
      <c r="A469" s="158"/>
      <c r="C469" s="152"/>
      <c r="D469" s="152"/>
      <c r="E469" s="149"/>
      <c r="F469" s="156"/>
      <c r="G469" s="149"/>
      <c r="I469" s="157"/>
    </row>
    <row r="470">
      <c r="A470" s="158"/>
      <c r="C470" s="152"/>
      <c r="D470" s="152"/>
      <c r="E470" s="149"/>
      <c r="F470" s="156"/>
      <c r="G470" s="149"/>
      <c r="I470" s="157"/>
    </row>
    <row r="471">
      <c r="A471" s="158"/>
      <c r="C471" s="152"/>
      <c r="D471" s="152"/>
      <c r="E471" s="149"/>
      <c r="F471" s="156"/>
      <c r="G471" s="149"/>
      <c r="I471" s="157"/>
    </row>
    <row r="472">
      <c r="A472" s="158"/>
      <c r="C472" s="152"/>
      <c r="D472" s="152"/>
      <c r="E472" s="149"/>
      <c r="F472" s="156"/>
      <c r="G472" s="149"/>
      <c r="I472" s="157"/>
    </row>
    <row r="473">
      <c r="A473" s="158"/>
      <c r="C473" s="152"/>
      <c r="D473" s="152"/>
      <c r="E473" s="149"/>
      <c r="F473" s="156"/>
      <c r="G473" s="149"/>
      <c r="I473" s="157"/>
    </row>
    <row r="474">
      <c r="A474" s="158"/>
      <c r="C474" s="152"/>
      <c r="D474" s="152"/>
      <c r="E474" s="149"/>
      <c r="F474" s="156"/>
      <c r="G474" s="149"/>
      <c r="I474" s="157"/>
    </row>
    <row r="475">
      <c r="A475" s="158"/>
      <c r="C475" s="152"/>
      <c r="D475" s="152"/>
      <c r="E475" s="149"/>
      <c r="F475" s="156"/>
      <c r="G475" s="149"/>
      <c r="I475" s="157"/>
    </row>
    <row r="476">
      <c r="A476" s="158"/>
      <c r="C476" s="152"/>
      <c r="D476" s="152"/>
      <c r="E476" s="149"/>
      <c r="F476" s="156"/>
      <c r="G476" s="149"/>
      <c r="I476" s="157"/>
    </row>
    <row r="477">
      <c r="A477" s="158"/>
      <c r="C477" s="152"/>
      <c r="D477" s="152"/>
      <c r="E477" s="149"/>
      <c r="F477" s="156"/>
      <c r="G477" s="149"/>
      <c r="I477" s="157"/>
    </row>
    <row r="478">
      <c r="A478" s="158"/>
      <c r="C478" s="152"/>
      <c r="D478" s="152"/>
      <c r="E478" s="149"/>
      <c r="F478" s="156"/>
      <c r="G478" s="149"/>
      <c r="I478" s="157"/>
    </row>
    <row r="479">
      <c r="A479" s="158"/>
      <c r="C479" s="152"/>
      <c r="D479" s="152"/>
      <c r="E479" s="149"/>
      <c r="F479" s="156"/>
      <c r="G479" s="149"/>
      <c r="I479" s="157"/>
    </row>
    <row r="480">
      <c r="A480" s="158"/>
      <c r="C480" s="152"/>
      <c r="D480" s="152"/>
      <c r="E480" s="149"/>
      <c r="F480" s="156"/>
      <c r="G480" s="149"/>
      <c r="I480" s="157"/>
    </row>
    <row r="481">
      <c r="A481" s="158"/>
      <c r="C481" s="152"/>
      <c r="D481" s="152"/>
      <c r="E481" s="149"/>
      <c r="F481" s="156"/>
      <c r="G481" s="149"/>
      <c r="I481" s="157"/>
    </row>
    <row r="482">
      <c r="A482" s="158"/>
      <c r="C482" s="152"/>
      <c r="D482" s="152"/>
      <c r="E482" s="149"/>
      <c r="F482" s="156"/>
      <c r="G482" s="149"/>
      <c r="I482" s="157"/>
    </row>
    <row r="483">
      <c r="A483" s="158"/>
      <c r="C483" s="152"/>
      <c r="D483" s="152"/>
      <c r="E483" s="149"/>
      <c r="F483" s="156"/>
      <c r="G483" s="149"/>
      <c r="I483" s="157"/>
    </row>
    <row r="484">
      <c r="A484" s="158"/>
      <c r="C484" s="152"/>
      <c r="D484" s="152"/>
      <c r="E484" s="149"/>
      <c r="F484" s="156"/>
      <c r="G484" s="149"/>
      <c r="I484" s="157"/>
    </row>
    <row r="485">
      <c r="A485" s="158"/>
      <c r="C485" s="152"/>
      <c r="D485" s="152"/>
      <c r="E485" s="149"/>
      <c r="F485" s="156"/>
      <c r="G485" s="149"/>
      <c r="I485" s="157"/>
    </row>
    <row r="486">
      <c r="A486" s="158"/>
      <c r="C486" s="152"/>
      <c r="D486" s="152"/>
      <c r="E486" s="149"/>
      <c r="F486" s="156"/>
      <c r="G486" s="149"/>
      <c r="I486" s="157"/>
    </row>
    <row r="487">
      <c r="A487" s="158"/>
      <c r="C487" s="152"/>
      <c r="D487" s="152"/>
      <c r="E487" s="149"/>
      <c r="F487" s="156"/>
      <c r="G487" s="149"/>
      <c r="I487" s="157"/>
    </row>
    <row r="488">
      <c r="A488" s="158"/>
      <c r="C488" s="152"/>
      <c r="D488" s="152"/>
      <c r="E488" s="149"/>
      <c r="F488" s="156"/>
      <c r="G488" s="149"/>
      <c r="I488" s="157"/>
    </row>
    <row r="489">
      <c r="A489" s="158"/>
      <c r="C489" s="152"/>
      <c r="D489" s="152"/>
      <c r="E489" s="149"/>
      <c r="F489" s="156"/>
      <c r="G489" s="149"/>
      <c r="I489" s="157"/>
    </row>
    <row r="490">
      <c r="A490" s="158"/>
      <c r="C490" s="152"/>
      <c r="D490" s="152"/>
      <c r="E490" s="149"/>
      <c r="F490" s="156"/>
      <c r="G490" s="149"/>
      <c r="I490" s="157"/>
    </row>
    <row r="491">
      <c r="A491" s="158"/>
      <c r="C491" s="152"/>
      <c r="D491" s="152"/>
      <c r="E491" s="149"/>
      <c r="F491" s="156"/>
      <c r="G491" s="149"/>
      <c r="I491" s="157"/>
    </row>
    <row r="492">
      <c r="A492" s="158"/>
      <c r="C492" s="152"/>
      <c r="D492" s="152"/>
      <c r="E492" s="149"/>
      <c r="F492" s="156"/>
      <c r="G492" s="149"/>
      <c r="I492" s="157"/>
    </row>
    <row r="493">
      <c r="A493" s="158"/>
      <c r="C493" s="152"/>
      <c r="D493" s="152"/>
      <c r="E493" s="149"/>
      <c r="F493" s="156"/>
      <c r="G493" s="149"/>
      <c r="I493" s="157"/>
    </row>
    <row r="494">
      <c r="A494" s="158"/>
      <c r="C494" s="152"/>
      <c r="D494" s="152"/>
      <c r="E494" s="149"/>
      <c r="F494" s="156"/>
      <c r="G494" s="149"/>
      <c r="I494" s="157"/>
    </row>
    <row r="495">
      <c r="A495" s="158"/>
      <c r="C495" s="152"/>
      <c r="D495" s="152"/>
      <c r="E495" s="149"/>
      <c r="F495" s="156"/>
      <c r="G495" s="149"/>
      <c r="I495" s="157"/>
    </row>
    <row r="496">
      <c r="A496" s="158"/>
      <c r="C496" s="152"/>
      <c r="D496" s="152"/>
      <c r="E496" s="149"/>
      <c r="F496" s="156"/>
      <c r="G496" s="149"/>
      <c r="I496" s="157"/>
    </row>
    <row r="497">
      <c r="A497" s="158"/>
      <c r="C497" s="152"/>
      <c r="D497" s="152"/>
      <c r="E497" s="149"/>
      <c r="F497" s="156"/>
      <c r="G497" s="149"/>
      <c r="I497" s="157"/>
    </row>
    <row r="498">
      <c r="A498" s="158"/>
      <c r="C498" s="152"/>
      <c r="D498" s="152"/>
      <c r="E498" s="149"/>
      <c r="F498" s="156"/>
      <c r="G498" s="149"/>
      <c r="I498" s="157"/>
    </row>
    <row r="499">
      <c r="A499" s="158"/>
      <c r="C499" s="152"/>
      <c r="D499" s="152"/>
      <c r="E499" s="149"/>
      <c r="F499" s="156"/>
      <c r="G499" s="149"/>
      <c r="I499" s="157"/>
    </row>
    <row r="500">
      <c r="A500" s="158"/>
      <c r="C500" s="152"/>
      <c r="D500" s="152"/>
      <c r="E500" s="149"/>
      <c r="F500" s="156"/>
      <c r="G500" s="149"/>
      <c r="I500" s="157"/>
    </row>
    <row r="501">
      <c r="A501" s="158"/>
      <c r="C501" s="152"/>
      <c r="D501" s="152"/>
      <c r="E501" s="149"/>
      <c r="F501" s="156"/>
      <c r="G501" s="149"/>
      <c r="I501" s="157"/>
    </row>
    <row r="502">
      <c r="A502" s="158"/>
      <c r="C502" s="152"/>
      <c r="D502" s="152"/>
      <c r="E502" s="149"/>
      <c r="F502" s="156"/>
      <c r="G502" s="149"/>
      <c r="I502" s="157"/>
    </row>
    <row r="503">
      <c r="A503" s="158"/>
      <c r="C503" s="152"/>
      <c r="D503" s="152"/>
      <c r="E503" s="149"/>
      <c r="F503" s="156"/>
      <c r="G503" s="149"/>
      <c r="I503" s="157"/>
    </row>
    <row r="504">
      <c r="A504" s="158"/>
      <c r="C504" s="152"/>
      <c r="D504" s="152"/>
      <c r="E504" s="149"/>
      <c r="F504" s="156"/>
      <c r="G504" s="149"/>
      <c r="I504" s="157"/>
    </row>
    <row r="505">
      <c r="A505" s="158"/>
      <c r="C505" s="152"/>
      <c r="D505" s="152"/>
      <c r="E505" s="149"/>
      <c r="F505" s="156"/>
      <c r="G505" s="149"/>
      <c r="I505" s="157"/>
    </row>
    <row r="506">
      <c r="A506" s="158"/>
      <c r="C506" s="152"/>
      <c r="D506" s="152"/>
      <c r="E506" s="149"/>
      <c r="F506" s="156"/>
      <c r="G506" s="149"/>
      <c r="I506" s="157"/>
    </row>
    <row r="507">
      <c r="A507" s="158"/>
      <c r="C507" s="152"/>
      <c r="D507" s="152"/>
      <c r="E507" s="149"/>
      <c r="F507" s="156"/>
      <c r="G507" s="149"/>
      <c r="I507" s="157"/>
    </row>
    <row r="508">
      <c r="A508" s="158"/>
      <c r="C508" s="152"/>
      <c r="D508" s="152"/>
      <c r="E508" s="149"/>
      <c r="F508" s="156"/>
      <c r="G508" s="149"/>
      <c r="I508" s="157"/>
    </row>
    <row r="509">
      <c r="A509" s="158"/>
      <c r="C509" s="152"/>
      <c r="D509" s="152"/>
      <c r="E509" s="149"/>
      <c r="F509" s="156"/>
      <c r="G509" s="149"/>
      <c r="I509" s="157"/>
    </row>
    <row r="510">
      <c r="A510" s="158"/>
      <c r="C510" s="152"/>
      <c r="D510" s="152"/>
      <c r="E510" s="149"/>
      <c r="F510" s="156"/>
      <c r="G510" s="149"/>
      <c r="I510" s="157"/>
    </row>
    <row r="511">
      <c r="A511" s="158"/>
      <c r="C511" s="152"/>
      <c r="D511" s="152"/>
      <c r="E511" s="149"/>
      <c r="F511" s="156"/>
      <c r="G511" s="149"/>
      <c r="I511" s="157"/>
    </row>
    <row r="512">
      <c r="A512" s="158"/>
      <c r="C512" s="152"/>
      <c r="D512" s="152"/>
      <c r="E512" s="149"/>
      <c r="F512" s="156"/>
      <c r="G512" s="149"/>
      <c r="I512" s="157"/>
    </row>
    <row r="513">
      <c r="A513" s="158"/>
      <c r="C513" s="152"/>
      <c r="D513" s="152"/>
      <c r="E513" s="149"/>
      <c r="F513" s="156"/>
      <c r="G513" s="149"/>
      <c r="I513" s="157"/>
    </row>
    <row r="514">
      <c r="A514" s="158"/>
      <c r="C514" s="152"/>
      <c r="D514" s="152"/>
      <c r="E514" s="149"/>
      <c r="F514" s="156"/>
      <c r="G514" s="149"/>
      <c r="I514" s="157"/>
    </row>
    <row r="515">
      <c r="A515" s="158"/>
      <c r="C515" s="152"/>
      <c r="D515" s="152"/>
      <c r="E515" s="149"/>
      <c r="F515" s="156"/>
      <c r="G515" s="149"/>
      <c r="I515" s="157"/>
    </row>
    <row r="516">
      <c r="A516" s="158"/>
      <c r="C516" s="152"/>
      <c r="D516" s="152"/>
      <c r="E516" s="149"/>
      <c r="F516" s="156"/>
      <c r="G516" s="149"/>
      <c r="I516" s="157"/>
    </row>
    <row r="517">
      <c r="A517" s="158"/>
      <c r="C517" s="152"/>
      <c r="D517" s="152"/>
      <c r="E517" s="149"/>
      <c r="F517" s="156"/>
      <c r="G517" s="149"/>
      <c r="I517" s="157"/>
    </row>
    <row r="518">
      <c r="A518" s="158"/>
      <c r="C518" s="152"/>
      <c r="D518" s="152"/>
      <c r="E518" s="149"/>
      <c r="F518" s="156"/>
      <c r="G518" s="149"/>
      <c r="I518" s="157"/>
    </row>
    <row r="519">
      <c r="A519" s="158"/>
      <c r="C519" s="152"/>
      <c r="D519" s="152"/>
      <c r="E519" s="149"/>
      <c r="F519" s="156"/>
      <c r="G519" s="149"/>
      <c r="I519" s="157"/>
    </row>
    <row r="520">
      <c r="A520" s="158"/>
      <c r="C520" s="152"/>
      <c r="D520" s="152"/>
      <c r="E520" s="149"/>
      <c r="F520" s="156"/>
      <c r="G520" s="149"/>
      <c r="I520" s="157"/>
    </row>
    <row r="521">
      <c r="A521" s="158"/>
      <c r="C521" s="152"/>
      <c r="D521" s="152"/>
      <c r="E521" s="149"/>
      <c r="F521" s="156"/>
      <c r="G521" s="149"/>
      <c r="I521" s="157"/>
    </row>
    <row r="522">
      <c r="A522" s="158"/>
      <c r="C522" s="152"/>
      <c r="D522" s="152"/>
      <c r="E522" s="149"/>
      <c r="F522" s="156"/>
      <c r="G522" s="149"/>
      <c r="I522" s="157"/>
    </row>
    <row r="523">
      <c r="A523" s="158"/>
      <c r="C523" s="152"/>
      <c r="D523" s="152"/>
      <c r="E523" s="149"/>
      <c r="F523" s="156"/>
      <c r="G523" s="149"/>
      <c r="I523" s="157"/>
    </row>
    <row r="524">
      <c r="A524" s="158"/>
      <c r="C524" s="152"/>
      <c r="D524" s="152"/>
      <c r="E524" s="149"/>
      <c r="F524" s="156"/>
      <c r="G524" s="149"/>
      <c r="I524" s="157"/>
    </row>
    <row r="525">
      <c r="A525" s="158"/>
      <c r="C525" s="152"/>
      <c r="D525" s="152"/>
      <c r="E525" s="149"/>
      <c r="F525" s="156"/>
      <c r="G525" s="149"/>
      <c r="I525" s="157"/>
    </row>
    <row r="526">
      <c r="A526" s="158"/>
      <c r="C526" s="152"/>
      <c r="D526" s="152"/>
      <c r="E526" s="149"/>
      <c r="F526" s="156"/>
      <c r="G526" s="149"/>
      <c r="I526" s="157"/>
    </row>
    <row r="527">
      <c r="A527" s="158"/>
      <c r="C527" s="152"/>
      <c r="D527" s="152"/>
      <c r="E527" s="149"/>
      <c r="F527" s="156"/>
      <c r="G527" s="149"/>
      <c r="I527" s="157"/>
    </row>
    <row r="528">
      <c r="A528" s="158"/>
      <c r="C528" s="152"/>
      <c r="D528" s="152"/>
      <c r="E528" s="149"/>
      <c r="F528" s="156"/>
      <c r="G528" s="149"/>
      <c r="I528" s="157"/>
    </row>
    <row r="529">
      <c r="A529" s="158"/>
      <c r="C529" s="152"/>
      <c r="D529" s="152"/>
      <c r="E529" s="149"/>
      <c r="F529" s="156"/>
      <c r="G529" s="149"/>
      <c r="I529" s="157"/>
    </row>
    <row r="530">
      <c r="A530" s="158"/>
      <c r="C530" s="152"/>
      <c r="D530" s="152"/>
      <c r="E530" s="149"/>
      <c r="F530" s="156"/>
      <c r="G530" s="149"/>
      <c r="I530" s="157"/>
    </row>
    <row r="531">
      <c r="A531" s="158"/>
      <c r="C531" s="152"/>
      <c r="D531" s="152"/>
      <c r="E531" s="149"/>
      <c r="F531" s="156"/>
      <c r="G531" s="149"/>
      <c r="I531" s="157"/>
    </row>
    <row r="532">
      <c r="A532" s="158"/>
      <c r="C532" s="152"/>
      <c r="D532" s="152"/>
      <c r="E532" s="149"/>
      <c r="F532" s="156"/>
      <c r="G532" s="149"/>
      <c r="I532" s="157"/>
    </row>
    <row r="533">
      <c r="A533" s="158"/>
      <c r="C533" s="152"/>
      <c r="D533" s="152"/>
      <c r="E533" s="149"/>
      <c r="F533" s="156"/>
      <c r="G533" s="149"/>
      <c r="I533" s="157"/>
    </row>
    <row r="534">
      <c r="A534" s="158"/>
      <c r="C534" s="152"/>
      <c r="D534" s="152"/>
      <c r="E534" s="149"/>
      <c r="F534" s="156"/>
      <c r="G534" s="149"/>
      <c r="I534" s="157"/>
    </row>
    <row r="535">
      <c r="A535" s="158"/>
      <c r="C535" s="152"/>
      <c r="D535" s="152"/>
      <c r="E535" s="149"/>
      <c r="F535" s="156"/>
      <c r="G535" s="149"/>
      <c r="I535" s="157"/>
    </row>
    <row r="536">
      <c r="A536" s="158"/>
      <c r="C536" s="152"/>
      <c r="D536" s="152"/>
      <c r="E536" s="149"/>
      <c r="F536" s="156"/>
      <c r="G536" s="149"/>
      <c r="I536" s="157"/>
    </row>
    <row r="537">
      <c r="A537" s="158"/>
      <c r="C537" s="152"/>
      <c r="D537" s="152"/>
      <c r="E537" s="149"/>
      <c r="F537" s="156"/>
      <c r="G537" s="149"/>
      <c r="I537" s="157"/>
    </row>
    <row r="538">
      <c r="A538" s="158"/>
      <c r="C538" s="152"/>
      <c r="D538" s="152"/>
      <c r="E538" s="149"/>
      <c r="F538" s="156"/>
      <c r="G538" s="149"/>
      <c r="I538" s="157"/>
    </row>
    <row r="539">
      <c r="A539" s="158"/>
      <c r="C539" s="152"/>
      <c r="D539" s="152"/>
      <c r="E539" s="149"/>
      <c r="F539" s="156"/>
      <c r="G539" s="149"/>
      <c r="I539" s="157"/>
    </row>
    <row r="540">
      <c r="A540" s="158"/>
      <c r="C540" s="152"/>
      <c r="D540" s="152"/>
      <c r="E540" s="149"/>
      <c r="F540" s="156"/>
      <c r="G540" s="149"/>
      <c r="I540" s="157"/>
    </row>
    <row r="541">
      <c r="A541" s="158"/>
      <c r="C541" s="152"/>
      <c r="D541" s="152"/>
      <c r="E541" s="149"/>
      <c r="F541" s="156"/>
      <c r="G541" s="149"/>
      <c r="I541" s="157"/>
    </row>
    <row r="542">
      <c r="A542" s="158"/>
      <c r="C542" s="152"/>
      <c r="D542" s="152"/>
      <c r="E542" s="149"/>
      <c r="F542" s="156"/>
      <c r="G542" s="149"/>
      <c r="I542" s="157"/>
    </row>
    <row r="543">
      <c r="A543" s="158"/>
      <c r="C543" s="152"/>
      <c r="D543" s="152"/>
      <c r="E543" s="149"/>
      <c r="F543" s="156"/>
      <c r="G543" s="149"/>
      <c r="I543" s="157"/>
    </row>
    <row r="544">
      <c r="A544" s="158"/>
      <c r="C544" s="152"/>
      <c r="D544" s="152"/>
      <c r="E544" s="149"/>
      <c r="F544" s="156"/>
      <c r="G544" s="149"/>
      <c r="I544" s="157"/>
    </row>
    <row r="545">
      <c r="A545" s="158"/>
      <c r="C545" s="152"/>
      <c r="D545" s="152"/>
      <c r="E545" s="149"/>
      <c r="F545" s="156"/>
      <c r="G545" s="149"/>
      <c r="I545" s="157"/>
    </row>
    <row r="546">
      <c r="A546" s="158"/>
      <c r="C546" s="152"/>
      <c r="D546" s="152"/>
      <c r="E546" s="149"/>
      <c r="F546" s="156"/>
      <c r="G546" s="149"/>
      <c r="I546" s="157"/>
    </row>
    <row r="547">
      <c r="A547" s="158"/>
      <c r="C547" s="152"/>
      <c r="D547" s="152"/>
      <c r="E547" s="149"/>
      <c r="F547" s="156"/>
      <c r="G547" s="149"/>
      <c r="I547" s="157"/>
    </row>
    <row r="548">
      <c r="A548" s="158"/>
      <c r="C548" s="152"/>
      <c r="D548" s="152"/>
      <c r="E548" s="149"/>
      <c r="F548" s="156"/>
      <c r="G548" s="149"/>
      <c r="I548" s="157"/>
    </row>
    <row r="549">
      <c r="A549" s="158"/>
      <c r="C549" s="152"/>
      <c r="D549" s="152"/>
      <c r="E549" s="149"/>
      <c r="F549" s="156"/>
      <c r="G549" s="149"/>
      <c r="I549" s="157"/>
    </row>
    <row r="550">
      <c r="A550" s="158"/>
      <c r="C550" s="152"/>
      <c r="D550" s="152"/>
      <c r="E550" s="149"/>
      <c r="F550" s="156"/>
      <c r="G550" s="149"/>
      <c r="I550" s="157"/>
    </row>
    <row r="551">
      <c r="A551" s="158"/>
      <c r="C551" s="152"/>
      <c r="D551" s="152"/>
      <c r="E551" s="149"/>
      <c r="F551" s="156"/>
      <c r="G551" s="149"/>
      <c r="I551" s="157"/>
    </row>
    <row r="552">
      <c r="A552" s="158"/>
      <c r="C552" s="152"/>
      <c r="D552" s="152"/>
      <c r="E552" s="149"/>
      <c r="F552" s="156"/>
      <c r="G552" s="149"/>
      <c r="I552" s="157"/>
    </row>
    <row r="553">
      <c r="A553" s="158"/>
      <c r="C553" s="152"/>
      <c r="D553" s="152"/>
      <c r="E553" s="149"/>
      <c r="F553" s="156"/>
      <c r="G553" s="149"/>
      <c r="I553" s="157"/>
    </row>
    <row r="554">
      <c r="A554" s="158"/>
      <c r="C554" s="152"/>
      <c r="D554" s="152"/>
      <c r="E554" s="149"/>
      <c r="F554" s="156"/>
      <c r="G554" s="149"/>
      <c r="I554" s="157"/>
    </row>
    <row r="555">
      <c r="A555" s="158"/>
      <c r="C555" s="152"/>
      <c r="D555" s="152"/>
      <c r="E555" s="149"/>
      <c r="F555" s="156"/>
      <c r="G555" s="149"/>
      <c r="I555" s="157"/>
    </row>
    <row r="556">
      <c r="A556" s="158"/>
      <c r="C556" s="152"/>
      <c r="D556" s="152"/>
      <c r="E556" s="149"/>
      <c r="F556" s="156"/>
      <c r="G556" s="149"/>
      <c r="I556" s="157"/>
    </row>
    <row r="557">
      <c r="A557" s="158"/>
      <c r="C557" s="152"/>
      <c r="D557" s="152"/>
      <c r="E557" s="149"/>
      <c r="F557" s="156"/>
      <c r="G557" s="149"/>
      <c r="I557" s="157"/>
    </row>
    <row r="558">
      <c r="A558" s="158"/>
      <c r="C558" s="152"/>
      <c r="D558" s="152"/>
      <c r="E558" s="149"/>
      <c r="F558" s="156"/>
      <c r="G558" s="149"/>
      <c r="I558" s="157"/>
    </row>
    <row r="559">
      <c r="A559" s="158"/>
      <c r="C559" s="152"/>
      <c r="D559" s="152"/>
      <c r="E559" s="149"/>
      <c r="F559" s="156"/>
      <c r="G559" s="149"/>
      <c r="I559" s="157"/>
    </row>
    <row r="560">
      <c r="A560" s="158"/>
      <c r="C560" s="152"/>
      <c r="D560" s="152"/>
      <c r="E560" s="149"/>
      <c r="F560" s="156"/>
      <c r="G560" s="149"/>
      <c r="I560" s="157"/>
    </row>
    <row r="561">
      <c r="A561" s="158"/>
      <c r="C561" s="152"/>
      <c r="D561" s="152"/>
      <c r="E561" s="149"/>
      <c r="F561" s="156"/>
      <c r="G561" s="149"/>
      <c r="I561" s="157"/>
    </row>
    <row r="562">
      <c r="A562" s="158"/>
      <c r="C562" s="152"/>
      <c r="D562" s="152"/>
      <c r="E562" s="149"/>
      <c r="F562" s="156"/>
      <c r="G562" s="149"/>
      <c r="I562" s="157"/>
    </row>
    <row r="563">
      <c r="A563" s="158"/>
      <c r="C563" s="152"/>
      <c r="D563" s="152"/>
      <c r="E563" s="149"/>
      <c r="F563" s="156"/>
      <c r="G563" s="149"/>
      <c r="I563" s="157"/>
    </row>
    <row r="564">
      <c r="A564" s="158"/>
      <c r="C564" s="152"/>
      <c r="D564" s="152"/>
      <c r="E564" s="149"/>
      <c r="F564" s="156"/>
      <c r="G564" s="149"/>
      <c r="I564" s="157"/>
    </row>
    <row r="565">
      <c r="A565" s="158"/>
      <c r="C565" s="152"/>
      <c r="D565" s="152"/>
      <c r="E565" s="149"/>
      <c r="F565" s="156"/>
      <c r="G565" s="149"/>
      <c r="I565" s="157"/>
    </row>
    <row r="566">
      <c r="A566" s="158"/>
      <c r="C566" s="152"/>
      <c r="D566" s="152"/>
      <c r="E566" s="149"/>
      <c r="F566" s="156"/>
      <c r="G566" s="149"/>
      <c r="I566" s="157"/>
    </row>
    <row r="567">
      <c r="A567" s="158"/>
      <c r="C567" s="152"/>
      <c r="D567" s="152"/>
      <c r="E567" s="149"/>
      <c r="F567" s="156"/>
      <c r="G567" s="149"/>
      <c r="I567" s="157"/>
    </row>
    <row r="568">
      <c r="A568" s="158"/>
      <c r="C568" s="152"/>
      <c r="D568" s="152"/>
      <c r="E568" s="149"/>
      <c r="F568" s="156"/>
      <c r="G568" s="149"/>
      <c r="I568" s="157"/>
    </row>
    <row r="569">
      <c r="A569" s="158"/>
      <c r="C569" s="152"/>
      <c r="D569" s="152"/>
      <c r="E569" s="149"/>
      <c r="F569" s="156"/>
      <c r="G569" s="149"/>
      <c r="I569" s="157"/>
    </row>
    <row r="570">
      <c r="A570" s="158"/>
      <c r="C570" s="152"/>
      <c r="D570" s="152"/>
      <c r="E570" s="149"/>
      <c r="F570" s="156"/>
      <c r="G570" s="149"/>
      <c r="I570" s="157"/>
    </row>
    <row r="571">
      <c r="A571" s="158"/>
      <c r="C571" s="152"/>
      <c r="D571" s="152"/>
      <c r="E571" s="149"/>
      <c r="F571" s="156"/>
      <c r="G571" s="149"/>
      <c r="I571" s="157"/>
    </row>
    <row r="572">
      <c r="A572" s="158"/>
      <c r="C572" s="152"/>
      <c r="D572" s="152"/>
      <c r="E572" s="149"/>
      <c r="F572" s="156"/>
      <c r="G572" s="149"/>
      <c r="I572" s="157"/>
    </row>
    <row r="573">
      <c r="A573" s="158"/>
      <c r="C573" s="152"/>
      <c r="D573" s="152"/>
      <c r="E573" s="149"/>
      <c r="F573" s="156"/>
      <c r="G573" s="149"/>
      <c r="I573" s="157"/>
    </row>
    <row r="574">
      <c r="A574" s="158"/>
      <c r="C574" s="152"/>
      <c r="D574" s="152"/>
      <c r="E574" s="149"/>
      <c r="F574" s="156"/>
      <c r="G574" s="149"/>
      <c r="I574" s="157"/>
    </row>
    <row r="575">
      <c r="A575" s="158"/>
      <c r="C575" s="152"/>
      <c r="D575" s="152"/>
      <c r="E575" s="149"/>
      <c r="F575" s="156"/>
      <c r="G575" s="149"/>
      <c r="I575" s="157"/>
    </row>
    <row r="576">
      <c r="A576" s="158"/>
      <c r="C576" s="152"/>
      <c r="D576" s="152"/>
      <c r="E576" s="149"/>
      <c r="F576" s="156"/>
      <c r="G576" s="149"/>
      <c r="I576" s="157"/>
    </row>
    <row r="577">
      <c r="A577" s="158"/>
      <c r="C577" s="152"/>
      <c r="D577" s="152"/>
      <c r="E577" s="149"/>
      <c r="F577" s="156"/>
      <c r="G577" s="149"/>
      <c r="I577" s="157"/>
    </row>
    <row r="578">
      <c r="A578" s="158"/>
      <c r="C578" s="152"/>
      <c r="D578" s="152"/>
      <c r="E578" s="149"/>
      <c r="F578" s="156"/>
      <c r="G578" s="149"/>
      <c r="I578" s="157"/>
    </row>
    <row r="579">
      <c r="A579" s="158"/>
      <c r="C579" s="152"/>
      <c r="D579" s="152"/>
      <c r="E579" s="149"/>
      <c r="F579" s="156"/>
      <c r="G579" s="149"/>
      <c r="I579" s="157"/>
    </row>
    <row r="580">
      <c r="A580" s="158"/>
      <c r="C580" s="152"/>
      <c r="D580" s="152"/>
      <c r="E580" s="149"/>
      <c r="F580" s="156"/>
      <c r="G580" s="149"/>
      <c r="I580" s="157"/>
    </row>
    <row r="581">
      <c r="A581" s="158"/>
      <c r="C581" s="152"/>
      <c r="D581" s="152"/>
      <c r="E581" s="149"/>
      <c r="F581" s="156"/>
      <c r="G581" s="149"/>
      <c r="I581" s="157"/>
    </row>
    <row r="582">
      <c r="A582" s="158"/>
      <c r="C582" s="152"/>
      <c r="D582" s="152"/>
      <c r="E582" s="149"/>
      <c r="F582" s="156"/>
      <c r="G582" s="149"/>
      <c r="I582" s="157"/>
    </row>
    <row r="583">
      <c r="A583" s="158"/>
      <c r="C583" s="152"/>
      <c r="D583" s="152"/>
      <c r="E583" s="149"/>
      <c r="F583" s="156"/>
      <c r="G583" s="149"/>
      <c r="I583" s="157"/>
    </row>
    <row r="584">
      <c r="A584" s="158"/>
      <c r="C584" s="152"/>
      <c r="D584" s="152"/>
      <c r="E584" s="149"/>
      <c r="F584" s="156"/>
      <c r="G584" s="149"/>
      <c r="I584" s="157"/>
    </row>
    <row r="585">
      <c r="A585" s="158"/>
      <c r="C585" s="152"/>
      <c r="D585" s="152"/>
      <c r="E585" s="149"/>
      <c r="F585" s="156"/>
      <c r="G585" s="149"/>
      <c r="I585" s="157"/>
    </row>
    <row r="586">
      <c r="A586" s="158"/>
      <c r="C586" s="152"/>
      <c r="D586" s="152"/>
      <c r="E586" s="149"/>
      <c r="F586" s="156"/>
      <c r="G586" s="149"/>
      <c r="I586" s="157"/>
    </row>
    <row r="587">
      <c r="A587" s="158"/>
      <c r="C587" s="152"/>
      <c r="D587" s="152"/>
      <c r="E587" s="149"/>
      <c r="F587" s="156"/>
      <c r="G587" s="149"/>
      <c r="I587" s="157"/>
    </row>
    <row r="588">
      <c r="A588" s="158"/>
      <c r="C588" s="152"/>
      <c r="D588" s="152"/>
      <c r="E588" s="149"/>
      <c r="F588" s="156"/>
      <c r="G588" s="149"/>
      <c r="I588" s="157"/>
    </row>
    <row r="589">
      <c r="A589" s="158"/>
      <c r="C589" s="152"/>
      <c r="D589" s="152"/>
      <c r="E589" s="149"/>
      <c r="F589" s="156"/>
      <c r="G589" s="149"/>
      <c r="I589" s="157"/>
    </row>
    <row r="590">
      <c r="A590" s="158"/>
      <c r="C590" s="152"/>
      <c r="D590" s="152"/>
      <c r="E590" s="149"/>
      <c r="F590" s="156"/>
      <c r="G590" s="149"/>
      <c r="I590" s="157"/>
    </row>
    <row r="591">
      <c r="A591" s="158"/>
      <c r="C591" s="152"/>
      <c r="D591" s="152"/>
      <c r="E591" s="149"/>
      <c r="F591" s="156"/>
      <c r="G591" s="149"/>
      <c r="I591" s="157"/>
    </row>
    <row r="592">
      <c r="A592" s="158"/>
      <c r="C592" s="152"/>
      <c r="D592" s="152"/>
      <c r="E592" s="149"/>
      <c r="F592" s="156"/>
      <c r="G592" s="149"/>
      <c r="I592" s="157"/>
    </row>
    <row r="593">
      <c r="A593" s="158"/>
      <c r="C593" s="152"/>
      <c r="D593" s="152"/>
      <c r="E593" s="149"/>
      <c r="F593" s="156"/>
      <c r="G593" s="149"/>
      <c r="I593" s="157"/>
    </row>
    <row r="594">
      <c r="A594" s="158"/>
      <c r="C594" s="152"/>
      <c r="D594" s="152"/>
      <c r="E594" s="149"/>
      <c r="F594" s="156"/>
      <c r="G594" s="149"/>
      <c r="I594" s="157"/>
    </row>
    <row r="595">
      <c r="A595" s="158"/>
      <c r="C595" s="152"/>
      <c r="D595" s="152"/>
      <c r="E595" s="149"/>
      <c r="F595" s="156"/>
      <c r="G595" s="149"/>
      <c r="I595" s="157"/>
    </row>
    <row r="596">
      <c r="A596" s="158"/>
      <c r="C596" s="152"/>
      <c r="D596" s="152"/>
      <c r="E596" s="149"/>
      <c r="F596" s="156"/>
      <c r="G596" s="149"/>
      <c r="I596" s="157"/>
    </row>
    <row r="597">
      <c r="A597" s="158"/>
      <c r="C597" s="152"/>
      <c r="D597" s="152"/>
      <c r="E597" s="149"/>
      <c r="F597" s="156"/>
      <c r="G597" s="149"/>
      <c r="I597" s="157"/>
    </row>
    <row r="598">
      <c r="A598" s="158"/>
      <c r="C598" s="152"/>
      <c r="D598" s="152"/>
      <c r="E598" s="149"/>
      <c r="F598" s="156"/>
      <c r="G598" s="149"/>
      <c r="I598" s="157"/>
    </row>
    <row r="599">
      <c r="A599" s="158"/>
      <c r="C599" s="152"/>
      <c r="D599" s="152"/>
      <c r="E599" s="149"/>
      <c r="F599" s="156"/>
      <c r="G599" s="149"/>
      <c r="I599" s="157"/>
    </row>
    <row r="600">
      <c r="A600" s="158"/>
      <c r="C600" s="152"/>
      <c r="D600" s="152"/>
      <c r="E600" s="149"/>
      <c r="F600" s="156"/>
      <c r="G600" s="149"/>
      <c r="I600" s="157"/>
    </row>
    <row r="601">
      <c r="A601" s="158"/>
      <c r="C601" s="152"/>
      <c r="D601" s="152"/>
      <c r="E601" s="149"/>
      <c r="F601" s="156"/>
      <c r="G601" s="149"/>
      <c r="I601" s="157"/>
    </row>
    <row r="602">
      <c r="A602" s="158"/>
      <c r="C602" s="152"/>
      <c r="D602" s="152"/>
      <c r="E602" s="149"/>
      <c r="F602" s="156"/>
      <c r="G602" s="149"/>
      <c r="I602" s="157"/>
    </row>
    <row r="603">
      <c r="A603" s="158"/>
      <c r="C603" s="152"/>
      <c r="D603" s="152"/>
      <c r="E603" s="149"/>
      <c r="F603" s="156"/>
      <c r="G603" s="149"/>
      <c r="I603" s="157"/>
    </row>
    <row r="604">
      <c r="A604" s="158"/>
      <c r="C604" s="152"/>
      <c r="D604" s="152"/>
      <c r="E604" s="149"/>
      <c r="F604" s="156"/>
      <c r="G604" s="149"/>
      <c r="I604" s="157"/>
    </row>
    <row r="605">
      <c r="A605" s="158"/>
      <c r="C605" s="152"/>
      <c r="D605" s="152"/>
      <c r="E605" s="149"/>
      <c r="F605" s="156"/>
      <c r="G605" s="149"/>
      <c r="I605" s="157"/>
    </row>
    <row r="606">
      <c r="A606" s="158"/>
      <c r="C606" s="152"/>
      <c r="D606" s="152"/>
      <c r="E606" s="149"/>
      <c r="F606" s="156"/>
      <c r="G606" s="149"/>
      <c r="I606" s="157"/>
    </row>
    <row r="607">
      <c r="A607" s="158"/>
      <c r="C607" s="152"/>
      <c r="D607" s="152"/>
      <c r="E607" s="149"/>
      <c r="F607" s="156"/>
      <c r="G607" s="149"/>
      <c r="I607" s="157"/>
    </row>
    <row r="608">
      <c r="A608" s="158"/>
      <c r="C608" s="152"/>
      <c r="D608" s="152"/>
      <c r="E608" s="149"/>
      <c r="F608" s="156"/>
      <c r="G608" s="149"/>
      <c r="I608" s="157"/>
    </row>
    <row r="609">
      <c r="A609" s="158"/>
      <c r="C609" s="152"/>
      <c r="D609" s="152"/>
      <c r="E609" s="149"/>
      <c r="F609" s="156"/>
      <c r="G609" s="149"/>
      <c r="I609" s="157"/>
    </row>
    <row r="610">
      <c r="A610" s="158"/>
      <c r="C610" s="152"/>
      <c r="D610" s="152"/>
      <c r="E610" s="149"/>
      <c r="F610" s="156"/>
      <c r="G610" s="149"/>
      <c r="I610" s="157"/>
    </row>
    <row r="611">
      <c r="A611" s="158"/>
      <c r="C611" s="152"/>
      <c r="D611" s="152"/>
      <c r="E611" s="149"/>
      <c r="F611" s="156"/>
      <c r="G611" s="149"/>
      <c r="I611" s="157"/>
    </row>
    <row r="612">
      <c r="A612" s="158"/>
      <c r="C612" s="152"/>
      <c r="D612" s="152"/>
      <c r="E612" s="149"/>
      <c r="F612" s="156"/>
      <c r="G612" s="149"/>
      <c r="I612" s="157"/>
    </row>
    <row r="613">
      <c r="A613" s="158"/>
      <c r="C613" s="152"/>
      <c r="D613" s="152"/>
      <c r="E613" s="149"/>
      <c r="F613" s="156"/>
      <c r="G613" s="149"/>
      <c r="I613" s="157"/>
    </row>
    <row r="614">
      <c r="A614" s="158"/>
      <c r="C614" s="152"/>
      <c r="D614" s="152"/>
      <c r="E614" s="149"/>
      <c r="F614" s="156"/>
      <c r="G614" s="149"/>
      <c r="I614" s="157"/>
    </row>
    <row r="615">
      <c r="A615" s="158"/>
      <c r="C615" s="152"/>
      <c r="D615" s="152"/>
      <c r="E615" s="149"/>
      <c r="F615" s="156"/>
      <c r="G615" s="149"/>
      <c r="I615" s="157"/>
    </row>
    <row r="616">
      <c r="A616" s="158"/>
      <c r="C616" s="152"/>
      <c r="D616" s="152"/>
      <c r="E616" s="149"/>
      <c r="F616" s="156"/>
      <c r="G616" s="149"/>
      <c r="I616" s="157"/>
    </row>
    <row r="617">
      <c r="A617" s="158"/>
      <c r="C617" s="152"/>
      <c r="D617" s="152"/>
      <c r="E617" s="149"/>
      <c r="F617" s="156"/>
      <c r="G617" s="149"/>
      <c r="I617" s="157"/>
    </row>
    <row r="618">
      <c r="A618" s="158"/>
      <c r="C618" s="152"/>
      <c r="D618" s="152"/>
      <c r="E618" s="149"/>
      <c r="F618" s="156"/>
      <c r="G618" s="149"/>
      <c r="I618" s="157"/>
    </row>
    <row r="619">
      <c r="A619" s="158"/>
      <c r="C619" s="152"/>
      <c r="D619" s="152"/>
      <c r="E619" s="149"/>
      <c r="F619" s="156"/>
      <c r="G619" s="149"/>
      <c r="I619" s="157"/>
    </row>
    <row r="620">
      <c r="A620" s="158"/>
      <c r="C620" s="152"/>
      <c r="D620" s="152"/>
      <c r="E620" s="149"/>
      <c r="F620" s="156"/>
      <c r="G620" s="149"/>
      <c r="I620" s="157"/>
    </row>
    <row r="621">
      <c r="A621" s="158"/>
      <c r="C621" s="152"/>
      <c r="D621" s="152"/>
      <c r="E621" s="149"/>
      <c r="F621" s="156"/>
      <c r="G621" s="149"/>
      <c r="I621" s="157"/>
    </row>
    <row r="622">
      <c r="A622" s="158"/>
      <c r="C622" s="152"/>
      <c r="D622" s="152"/>
      <c r="E622" s="149"/>
      <c r="F622" s="156"/>
      <c r="G622" s="149"/>
      <c r="I622" s="157"/>
    </row>
    <row r="623">
      <c r="A623" s="158"/>
      <c r="C623" s="152"/>
      <c r="D623" s="152"/>
      <c r="E623" s="149"/>
      <c r="F623" s="156"/>
      <c r="G623" s="149"/>
      <c r="I623" s="157"/>
    </row>
    <row r="624">
      <c r="A624" s="158"/>
      <c r="C624" s="152"/>
      <c r="D624" s="152"/>
      <c r="E624" s="149"/>
      <c r="F624" s="156"/>
      <c r="G624" s="149"/>
      <c r="I624" s="157"/>
    </row>
    <row r="625">
      <c r="A625" s="158"/>
      <c r="C625" s="152"/>
      <c r="D625" s="152"/>
      <c r="E625" s="149"/>
      <c r="F625" s="156"/>
      <c r="G625" s="149"/>
      <c r="I625" s="157"/>
    </row>
    <row r="626">
      <c r="A626" s="158"/>
      <c r="C626" s="152"/>
      <c r="D626" s="152"/>
      <c r="E626" s="149"/>
      <c r="F626" s="156"/>
      <c r="G626" s="149"/>
      <c r="I626" s="157"/>
    </row>
    <row r="627">
      <c r="A627" s="158"/>
      <c r="C627" s="152"/>
      <c r="D627" s="152"/>
      <c r="E627" s="149"/>
      <c r="F627" s="156"/>
      <c r="G627" s="149"/>
      <c r="I627" s="157"/>
    </row>
    <row r="628">
      <c r="A628" s="158"/>
      <c r="C628" s="152"/>
      <c r="D628" s="152"/>
      <c r="E628" s="149"/>
      <c r="F628" s="156"/>
      <c r="G628" s="149"/>
      <c r="I628" s="157"/>
    </row>
    <row r="629">
      <c r="A629" s="158"/>
      <c r="C629" s="152"/>
      <c r="D629" s="152"/>
      <c r="E629" s="149"/>
      <c r="F629" s="156"/>
      <c r="G629" s="149"/>
      <c r="I629" s="157"/>
    </row>
    <row r="630">
      <c r="A630" s="158"/>
      <c r="C630" s="152"/>
      <c r="D630" s="152"/>
      <c r="E630" s="149"/>
      <c r="F630" s="156"/>
      <c r="G630" s="149"/>
      <c r="I630" s="157"/>
    </row>
    <row r="631">
      <c r="A631" s="158"/>
      <c r="C631" s="152"/>
      <c r="D631" s="152"/>
      <c r="E631" s="149"/>
      <c r="F631" s="156"/>
      <c r="G631" s="149"/>
      <c r="I631" s="157"/>
    </row>
    <row r="632">
      <c r="A632" s="158"/>
      <c r="C632" s="152"/>
      <c r="D632" s="152"/>
      <c r="E632" s="149"/>
      <c r="F632" s="156"/>
      <c r="G632" s="149"/>
      <c r="I632" s="157"/>
    </row>
    <row r="633">
      <c r="A633" s="158"/>
      <c r="C633" s="152"/>
      <c r="D633" s="152"/>
      <c r="E633" s="149"/>
      <c r="F633" s="156"/>
      <c r="G633" s="149"/>
      <c r="I633" s="157"/>
    </row>
    <row r="634">
      <c r="A634" s="158"/>
      <c r="C634" s="152"/>
      <c r="D634" s="152"/>
      <c r="E634" s="149"/>
      <c r="F634" s="156"/>
      <c r="G634" s="149"/>
      <c r="I634" s="157"/>
    </row>
    <row r="635">
      <c r="A635" s="158"/>
      <c r="C635" s="152"/>
      <c r="D635" s="152"/>
      <c r="E635" s="149"/>
      <c r="F635" s="156"/>
      <c r="G635" s="149"/>
      <c r="I635" s="157"/>
    </row>
    <row r="636">
      <c r="A636" s="158"/>
      <c r="C636" s="152"/>
      <c r="D636" s="152"/>
      <c r="E636" s="149"/>
      <c r="F636" s="156"/>
      <c r="G636" s="149"/>
      <c r="I636" s="157"/>
    </row>
    <row r="637">
      <c r="A637" s="158"/>
      <c r="C637" s="152"/>
      <c r="D637" s="152"/>
      <c r="E637" s="149"/>
      <c r="F637" s="156"/>
      <c r="G637" s="149"/>
      <c r="I637" s="157"/>
    </row>
    <row r="638">
      <c r="A638" s="158"/>
      <c r="C638" s="152"/>
      <c r="D638" s="152"/>
      <c r="E638" s="149"/>
      <c r="F638" s="156"/>
      <c r="G638" s="149"/>
      <c r="I638" s="157"/>
    </row>
    <row r="639">
      <c r="A639" s="158"/>
      <c r="C639" s="152"/>
      <c r="D639" s="152"/>
      <c r="E639" s="149"/>
      <c r="F639" s="156"/>
      <c r="G639" s="149"/>
      <c r="I639" s="157"/>
    </row>
    <row r="640">
      <c r="A640" s="158"/>
      <c r="C640" s="152"/>
      <c r="D640" s="152"/>
      <c r="E640" s="149"/>
      <c r="F640" s="156"/>
      <c r="G640" s="149"/>
      <c r="I640" s="157"/>
    </row>
    <row r="641">
      <c r="A641" s="158"/>
      <c r="C641" s="152"/>
      <c r="D641" s="152"/>
      <c r="E641" s="149"/>
      <c r="F641" s="156"/>
      <c r="G641" s="149"/>
      <c r="I641" s="157"/>
    </row>
    <row r="642">
      <c r="A642" s="158"/>
      <c r="C642" s="152"/>
      <c r="D642" s="152"/>
      <c r="E642" s="149"/>
      <c r="F642" s="156"/>
      <c r="G642" s="149"/>
      <c r="I642" s="157"/>
    </row>
    <row r="643">
      <c r="A643" s="158"/>
      <c r="C643" s="152"/>
      <c r="D643" s="152"/>
      <c r="E643" s="149"/>
      <c r="F643" s="156"/>
      <c r="G643" s="149"/>
      <c r="I643" s="157"/>
    </row>
    <row r="644">
      <c r="A644" s="158"/>
      <c r="C644" s="152"/>
      <c r="D644" s="152"/>
      <c r="E644" s="149"/>
      <c r="F644" s="156"/>
      <c r="G644" s="149"/>
      <c r="I644" s="157"/>
    </row>
    <row r="645">
      <c r="A645" s="158"/>
      <c r="C645" s="152"/>
      <c r="D645" s="152"/>
      <c r="E645" s="149"/>
      <c r="F645" s="156"/>
      <c r="G645" s="149"/>
      <c r="I645" s="157"/>
    </row>
    <row r="646">
      <c r="A646" s="158"/>
      <c r="C646" s="152"/>
      <c r="D646" s="152"/>
      <c r="E646" s="149"/>
      <c r="F646" s="156"/>
      <c r="G646" s="149"/>
      <c r="I646" s="157"/>
    </row>
    <row r="647">
      <c r="A647" s="158"/>
      <c r="C647" s="152"/>
      <c r="D647" s="152"/>
      <c r="E647" s="149"/>
      <c r="F647" s="156"/>
      <c r="G647" s="149"/>
      <c r="I647" s="157"/>
    </row>
    <row r="648">
      <c r="A648" s="158"/>
      <c r="C648" s="152"/>
      <c r="D648" s="152"/>
      <c r="E648" s="149"/>
      <c r="F648" s="156"/>
      <c r="G648" s="149"/>
      <c r="I648" s="157"/>
    </row>
    <row r="649">
      <c r="A649" s="158"/>
      <c r="C649" s="152"/>
      <c r="D649" s="152"/>
      <c r="E649" s="149"/>
      <c r="F649" s="156"/>
      <c r="G649" s="149"/>
      <c r="I649" s="157"/>
    </row>
    <row r="650">
      <c r="A650" s="158"/>
      <c r="C650" s="152"/>
      <c r="D650" s="152"/>
      <c r="E650" s="149"/>
      <c r="F650" s="156"/>
      <c r="G650" s="149"/>
      <c r="I650" s="157"/>
    </row>
    <row r="651">
      <c r="A651" s="158"/>
      <c r="C651" s="152"/>
      <c r="D651" s="152"/>
      <c r="E651" s="149"/>
      <c r="F651" s="156"/>
      <c r="G651" s="149"/>
      <c r="I651" s="157"/>
    </row>
    <row r="652">
      <c r="A652" s="158"/>
      <c r="C652" s="152"/>
      <c r="D652" s="152"/>
      <c r="E652" s="149"/>
      <c r="F652" s="156"/>
      <c r="G652" s="149"/>
      <c r="I652" s="157"/>
    </row>
    <row r="653">
      <c r="A653" s="158"/>
      <c r="C653" s="152"/>
      <c r="D653" s="152"/>
      <c r="E653" s="149"/>
      <c r="F653" s="156"/>
      <c r="G653" s="149"/>
      <c r="I653" s="157"/>
    </row>
    <row r="654">
      <c r="A654" s="158"/>
      <c r="C654" s="152"/>
      <c r="D654" s="152"/>
      <c r="E654" s="149"/>
      <c r="F654" s="156"/>
      <c r="G654" s="149"/>
      <c r="I654" s="157"/>
    </row>
    <row r="655">
      <c r="A655" s="158"/>
      <c r="C655" s="152"/>
      <c r="D655" s="152"/>
      <c r="E655" s="149"/>
      <c r="F655" s="156"/>
      <c r="G655" s="149"/>
      <c r="I655" s="157"/>
    </row>
    <row r="656">
      <c r="A656" s="158"/>
      <c r="C656" s="152"/>
      <c r="D656" s="152"/>
      <c r="E656" s="149"/>
      <c r="F656" s="156"/>
      <c r="G656" s="149"/>
      <c r="I656" s="157"/>
    </row>
    <row r="657">
      <c r="A657" s="158"/>
      <c r="C657" s="152"/>
      <c r="D657" s="152"/>
      <c r="E657" s="149"/>
      <c r="F657" s="156"/>
      <c r="G657" s="149"/>
      <c r="I657" s="157"/>
    </row>
    <row r="658">
      <c r="A658" s="158"/>
      <c r="C658" s="152"/>
      <c r="D658" s="152"/>
      <c r="E658" s="149"/>
      <c r="F658" s="156"/>
      <c r="G658" s="149"/>
      <c r="I658" s="157"/>
    </row>
    <row r="659">
      <c r="A659" s="158"/>
      <c r="C659" s="152"/>
      <c r="D659" s="152"/>
      <c r="E659" s="149"/>
      <c r="F659" s="156"/>
      <c r="G659" s="149"/>
      <c r="I659" s="157"/>
    </row>
    <row r="660">
      <c r="A660" s="158"/>
      <c r="C660" s="152"/>
      <c r="D660" s="152"/>
      <c r="E660" s="149"/>
      <c r="F660" s="156"/>
      <c r="G660" s="149"/>
      <c r="I660" s="157"/>
    </row>
    <row r="661">
      <c r="A661" s="158"/>
      <c r="C661" s="152"/>
      <c r="D661" s="152"/>
      <c r="E661" s="149"/>
      <c r="F661" s="156"/>
      <c r="G661" s="149"/>
      <c r="I661" s="157"/>
    </row>
    <row r="662">
      <c r="A662" s="158"/>
      <c r="C662" s="152"/>
      <c r="D662" s="152"/>
      <c r="E662" s="149"/>
      <c r="F662" s="156"/>
      <c r="G662" s="149"/>
      <c r="I662" s="157"/>
    </row>
    <row r="663">
      <c r="A663" s="158"/>
      <c r="C663" s="152"/>
      <c r="D663" s="152"/>
      <c r="E663" s="149"/>
      <c r="F663" s="156"/>
      <c r="G663" s="149"/>
      <c r="I663" s="157"/>
    </row>
    <row r="664">
      <c r="A664" s="158"/>
      <c r="C664" s="152"/>
      <c r="D664" s="152"/>
      <c r="E664" s="149"/>
      <c r="F664" s="156"/>
      <c r="G664" s="149"/>
      <c r="I664" s="157"/>
    </row>
    <row r="665">
      <c r="A665" s="158"/>
      <c r="C665" s="152"/>
      <c r="D665" s="152"/>
      <c r="E665" s="149"/>
      <c r="F665" s="156"/>
      <c r="G665" s="149"/>
      <c r="I665" s="157"/>
    </row>
    <row r="666">
      <c r="A666" s="158"/>
      <c r="C666" s="152"/>
      <c r="D666" s="152"/>
      <c r="E666" s="149"/>
      <c r="F666" s="156"/>
      <c r="G666" s="149"/>
      <c r="I666" s="157"/>
    </row>
    <row r="667">
      <c r="A667" s="158"/>
      <c r="C667" s="152"/>
      <c r="D667" s="152"/>
      <c r="E667" s="149"/>
      <c r="F667" s="156"/>
      <c r="G667" s="149"/>
      <c r="I667" s="157"/>
    </row>
    <row r="668">
      <c r="A668" s="158"/>
      <c r="C668" s="152"/>
      <c r="D668" s="152"/>
      <c r="E668" s="149"/>
      <c r="F668" s="156"/>
      <c r="G668" s="149"/>
      <c r="I668" s="157"/>
    </row>
    <row r="669">
      <c r="A669" s="158"/>
      <c r="C669" s="152"/>
      <c r="D669" s="152"/>
      <c r="E669" s="149"/>
      <c r="F669" s="156"/>
      <c r="G669" s="149"/>
      <c r="I669" s="157"/>
    </row>
    <row r="670">
      <c r="A670" s="158"/>
      <c r="C670" s="152"/>
      <c r="D670" s="152"/>
      <c r="E670" s="149"/>
      <c r="F670" s="156"/>
      <c r="G670" s="149"/>
      <c r="I670" s="157"/>
    </row>
    <row r="671">
      <c r="A671" s="158"/>
      <c r="C671" s="152"/>
      <c r="D671" s="152"/>
      <c r="E671" s="149"/>
      <c r="F671" s="156"/>
      <c r="G671" s="149"/>
      <c r="I671" s="157"/>
    </row>
    <row r="672">
      <c r="A672" s="158"/>
      <c r="C672" s="152"/>
      <c r="D672" s="152"/>
      <c r="E672" s="149"/>
      <c r="F672" s="156"/>
      <c r="G672" s="149"/>
      <c r="I672" s="157"/>
    </row>
    <row r="673">
      <c r="A673" s="158"/>
      <c r="C673" s="152"/>
      <c r="D673" s="152"/>
      <c r="E673" s="149"/>
      <c r="F673" s="156"/>
      <c r="G673" s="149"/>
      <c r="I673" s="157"/>
    </row>
    <row r="674">
      <c r="A674" s="158"/>
      <c r="C674" s="152"/>
      <c r="D674" s="152"/>
      <c r="E674" s="149"/>
      <c r="F674" s="156"/>
      <c r="G674" s="149"/>
      <c r="I674" s="157"/>
    </row>
    <row r="675">
      <c r="A675" s="158"/>
      <c r="C675" s="152"/>
      <c r="D675" s="152"/>
      <c r="E675" s="149"/>
      <c r="F675" s="156"/>
      <c r="G675" s="149"/>
      <c r="I675" s="157"/>
    </row>
    <row r="676">
      <c r="A676" s="158"/>
      <c r="C676" s="152"/>
      <c r="D676" s="152"/>
      <c r="E676" s="149"/>
      <c r="F676" s="156"/>
      <c r="G676" s="149"/>
      <c r="I676" s="157"/>
    </row>
    <row r="677">
      <c r="A677" s="158"/>
      <c r="C677" s="152"/>
      <c r="D677" s="152"/>
      <c r="E677" s="149"/>
      <c r="F677" s="156"/>
      <c r="G677" s="149"/>
      <c r="I677" s="157"/>
    </row>
    <row r="678">
      <c r="A678" s="158"/>
      <c r="C678" s="152"/>
      <c r="D678" s="152"/>
      <c r="E678" s="149"/>
      <c r="F678" s="156"/>
      <c r="G678" s="149"/>
      <c r="I678" s="157"/>
    </row>
    <row r="679">
      <c r="A679" s="158"/>
      <c r="C679" s="152"/>
      <c r="D679" s="152"/>
      <c r="E679" s="149"/>
      <c r="F679" s="156"/>
      <c r="G679" s="149"/>
      <c r="I679" s="157"/>
    </row>
    <row r="680">
      <c r="A680" s="158"/>
      <c r="C680" s="152"/>
      <c r="D680" s="152"/>
      <c r="E680" s="149"/>
      <c r="F680" s="156"/>
      <c r="G680" s="149"/>
      <c r="I680" s="157"/>
    </row>
    <row r="681">
      <c r="A681" s="158"/>
      <c r="C681" s="152"/>
      <c r="D681" s="152"/>
      <c r="E681" s="149"/>
      <c r="F681" s="156"/>
      <c r="G681" s="149"/>
      <c r="I681" s="157"/>
    </row>
    <row r="682">
      <c r="A682" s="158"/>
      <c r="C682" s="152"/>
      <c r="D682" s="152"/>
      <c r="E682" s="149"/>
      <c r="F682" s="156"/>
      <c r="G682" s="149"/>
      <c r="I682" s="157"/>
    </row>
    <row r="683">
      <c r="A683" s="158"/>
      <c r="C683" s="152"/>
      <c r="D683" s="152"/>
      <c r="E683" s="149"/>
      <c r="F683" s="156"/>
      <c r="G683" s="149"/>
      <c r="I683" s="157"/>
    </row>
    <row r="684">
      <c r="A684" s="158"/>
      <c r="C684" s="152"/>
      <c r="D684" s="152"/>
      <c r="E684" s="149"/>
      <c r="F684" s="156"/>
      <c r="G684" s="149"/>
      <c r="I684" s="157"/>
    </row>
    <row r="685">
      <c r="A685" s="158"/>
      <c r="C685" s="152"/>
      <c r="D685" s="152"/>
      <c r="E685" s="149"/>
      <c r="F685" s="156"/>
      <c r="G685" s="149"/>
      <c r="I685" s="157"/>
    </row>
    <row r="686">
      <c r="A686" s="158"/>
      <c r="C686" s="152"/>
      <c r="D686" s="152"/>
      <c r="E686" s="149"/>
      <c r="F686" s="156"/>
      <c r="G686" s="149"/>
      <c r="I686" s="157"/>
    </row>
    <row r="687">
      <c r="A687" s="158"/>
      <c r="C687" s="152"/>
      <c r="D687" s="152"/>
      <c r="E687" s="149"/>
      <c r="F687" s="156"/>
      <c r="G687" s="149"/>
      <c r="I687" s="157"/>
    </row>
    <row r="688">
      <c r="A688" s="158"/>
      <c r="C688" s="152"/>
      <c r="D688" s="152"/>
      <c r="E688" s="149"/>
      <c r="F688" s="156"/>
      <c r="G688" s="149"/>
      <c r="I688" s="157"/>
    </row>
    <row r="689">
      <c r="A689" s="158"/>
      <c r="C689" s="152"/>
      <c r="D689" s="152"/>
      <c r="E689" s="149"/>
      <c r="F689" s="156"/>
      <c r="G689" s="149"/>
      <c r="I689" s="157"/>
    </row>
    <row r="690">
      <c r="A690" s="158"/>
      <c r="C690" s="152"/>
      <c r="D690" s="152"/>
      <c r="E690" s="149"/>
      <c r="F690" s="156"/>
      <c r="G690" s="149"/>
      <c r="I690" s="157"/>
    </row>
    <row r="691">
      <c r="A691" s="158"/>
      <c r="C691" s="152"/>
      <c r="D691" s="152"/>
      <c r="E691" s="149"/>
      <c r="F691" s="156"/>
      <c r="G691" s="149"/>
      <c r="I691" s="157"/>
    </row>
    <row r="692">
      <c r="A692" s="158"/>
      <c r="C692" s="152"/>
      <c r="D692" s="152"/>
      <c r="E692" s="149"/>
      <c r="F692" s="156"/>
      <c r="G692" s="149"/>
      <c r="I692" s="157"/>
    </row>
    <row r="693">
      <c r="A693" s="158"/>
      <c r="C693" s="152"/>
      <c r="D693" s="152"/>
      <c r="E693" s="149"/>
      <c r="F693" s="156"/>
      <c r="G693" s="149"/>
      <c r="I693" s="157"/>
    </row>
    <row r="694">
      <c r="A694" s="158"/>
      <c r="C694" s="152"/>
      <c r="D694" s="152"/>
      <c r="E694" s="149"/>
      <c r="F694" s="156"/>
      <c r="G694" s="149"/>
      <c r="I694" s="157"/>
    </row>
    <row r="695">
      <c r="A695" s="158"/>
      <c r="C695" s="152"/>
      <c r="D695" s="152"/>
      <c r="E695" s="149"/>
      <c r="F695" s="156"/>
      <c r="G695" s="149"/>
      <c r="I695" s="157"/>
    </row>
    <row r="696">
      <c r="A696" s="158"/>
      <c r="C696" s="152"/>
      <c r="D696" s="152"/>
      <c r="E696" s="149"/>
      <c r="F696" s="156"/>
      <c r="G696" s="149"/>
      <c r="I696" s="157"/>
    </row>
    <row r="697">
      <c r="A697" s="158"/>
      <c r="C697" s="152"/>
      <c r="D697" s="152"/>
      <c r="E697" s="149"/>
      <c r="F697" s="156"/>
      <c r="G697" s="149"/>
      <c r="I697" s="157"/>
    </row>
    <row r="698">
      <c r="A698" s="158"/>
      <c r="C698" s="152"/>
      <c r="D698" s="152"/>
      <c r="E698" s="149"/>
      <c r="F698" s="156"/>
      <c r="G698" s="149"/>
      <c r="I698" s="157"/>
    </row>
    <row r="699">
      <c r="A699" s="158"/>
      <c r="C699" s="152"/>
      <c r="D699" s="152"/>
      <c r="E699" s="149"/>
      <c r="F699" s="156"/>
      <c r="G699" s="149"/>
      <c r="I699" s="157"/>
    </row>
    <row r="700">
      <c r="A700" s="158"/>
      <c r="C700" s="152"/>
      <c r="D700" s="152"/>
      <c r="E700" s="149"/>
      <c r="F700" s="156"/>
      <c r="G700" s="149"/>
      <c r="I700" s="157"/>
    </row>
    <row r="701">
      <c r="A701" s="158"/>
      <c r="C701" s="152"/>
      <c r="D701" s="152"/>
      <c r="E701" s="149"/>
      <c r="F701" s="156"/>
      <c r="G701" s="149"/>
      <c r="I701" s="157"/>
    </row>
    <row r="702">
      <c r="A702" s="158"/>
      <c r="C702" s="152"/>
      <c r="D702" s="152"/>
      <c r="E702" s="149"/>
      <c r="F702" s="156"/>
      <c r="G702" s="149"/>
      <c r="I702" s="157"/>
    </row>
    <row r="703">
      <c r="A703" s="158"/>
      <c r="C703" s="152"/>
      <c r="D703" s="152"/>
      <c r="E703" s="149"/>
      <c r="F703" s="156"/>
      <c r="G703" s="149"/>
      <c r="I703" s="157"/>
    </row>
    <row r="704">
      <c r="A704" s="158"/>
      <c r="C704" s="152"/>
      <c r="D704" s="152"/>
      <c r="E704" s="149"/>
      <c r="F704" s="156"/>
      <c r="G704" s="149"/>
      <c r="I704" s="157"/>
    </row>
    <row r="705">
      <c r="A705" s="158"/>
      <c r="C705" s="152"/>
      <c r="D705" s="152"/>
      <c r="E705" s="149"/>
      <c r="F705" s="156"/>
      <c r="G705" s="149"/>
      <c r="I705" s="157"/>
    </row>
    <row r="706">
      <c r="A706" s="158"/>
      <c r="C706" s="152"/>
      <c r="D706" s="152"/>
      <c r="E706" s="149"/>
      <c r="F706" s="156"/>
      <c r="G706" s="149"/>
      <c r="I706" s="157"/>
    </row>
    <row r="707">
      <c r="A707" s="158"/>
      <c r="C707" s="152"/>
      <c r="D707" s="152"/>
      <c r="E707" s="149"/>
      <c r="F707" s="156"/>
      <c r="G707" s="149"/>
      <c r="I707" s="157"/>
    </row>
    <row r="708">
      <c r="A708" s="158"/>
      <c r="C708" s="152"/>
      <c r="D708" s="152"/>
      <c r="E708" s="149"/>
      <c r="F708" s="156"/>
      <c r="G708" s="149"/>
      <c r="I708" s="157"/>
    </row>
    <row r="709">
      <c r="A709" s="158"/>
      <c r="C709" s="152"/>
      <c r="D709" s="152"/>
      <c r="E709" s="149"/>
      <c r="F709" s="156"/>
      <c r="G709" s="149"/>
      <c r="I709" s="157"/>
    </row>
    <row r="710">
      <c r="A710" s="158"/>
      <c r="C710" s="152"/>
      <c r="D710" s="152"/>
      <c r="E710" s="149"/>
      <c r="F710" s="156"/>
      <c r="G710" s="149"/>
      <c r="I710" s="157"/>
    </row>
    <row r="711">
      <c r="A711" s="158"/>
      <c r="C711" s="152"/>
      <c r="D711" s="152"/>
      <c r="E711" s="149"/>
      <c r="F711" s="156"/>
      <c r="G711" s="149"/>
      <c r="I711" s="157"/>
    </row>
    <row r="712">
      <c r="A712" s="158"/>
      <c r="C712" s="152"/>
      <c r="D712" s="152"/>
      <c r="E712" s="149"/>
      <c r="F712" s="156"/>
      <c r="G712" s="149"/>
      <c r="I712" s="157"/>
    </row>
    <row r="713">
      <c r="A713" s="158"/>
      <c r="C713" s="152"/>
      <c r="D713" s="152"/>
      <c r="E713" s="149"/>
      <c r="F713" s="156"/>
      <c r="G713" s="149"/>
      <c r="I713" s="157"/>
    </row>
    <row r="714">
      <c r="A714" s="158"/>
      <c r="C714" s="152"/>
      <c r="D714" s="152"/>
      <c r="E714" s="149"/>
      <c r="F714" s="156"/>
      <c r="G714" s="149"/>
      <c r="I714" s="157"/>
    </row>
    <row r="715">
      <c r="A715" s="158"/>
      <c r="C715" s="152"/>
      <c r="D715" s="152"/>
      <c r="E715" s="149"/>
      <c r="F715" s="156"/>
      <c r="G715" s="149"/>
      <c r="I715" s="157"/>
    </row>
    <row r="716">
      <c r="A716" s="158"/>
      <c r="C716" s="152"/>
      <c r="D716" s="152"/>
      <c r="E716" s="149"/>
      <c r="F716" s="156"/>
      <c r="G716" s="149"/>
      <c r="I716" s="157"/>
    </row>
    <row r="717">
      <c r="A717" s="158"/>
      <c r="C717" s="152"/>
      <c r="D717" s="152"/>
      <c r="E717" s="149"/>
      <c r="F717" s="156"/>
      <c r="G717" s="149"/>
      <c r="I717" s="157"/>
    </row>
    <row r="718">
      <c r="A718" s="158"/>
      <c r="C718" s="152"/>
      <c r="D718" s="152"/>
      <c r="E718" s="149"/>
      <c r="F718" s="156"/>
      <c r="G718" s="149"/>
      <c r="I718" s="157"/>
    </row>
    <row r="719">
      <c r="A719" s="158"/>
      <c r="C719" s="152"/>
      <c r="D719" s="152"/>
      <c r="E719" s="149"/>
      <c r="F719" s="156"/>
      <c r="G719" s="149"/>
      <c r="I719" s="157"/>
    </row>
    <row r="720">
      <c r="A720" s="158"/>
      <c r="C720" s="152"/>
      <c r="D720" s="152"/>
      <c r="E720" s="149"/>
      <c r="F720" s="156"/>
      <c r="G720" s="149"/>
      <c r="I720" s="157"/>
    </row>
    <row r="721">
      <c r="A721" s="158"/>
      <c r="C721" s="152"/>
      <c r="D721" s="152"/>
      <c r="E721" s="149"/>
      <c r="F721" s="156"/>
      <c r="G721" s="149"/>
      <c r="I721" s="157"/>
    </row>
    <row r="722">
      <c r="A722" s="158"/>
      <c r="C722" s="152"/>
      <c r="D722" s="152"/>
      <c r="E722" s="149"/>
      <c r="F722" s="156"/>
      <c r="G722" s="149"/>
      <c r="I722" s="157"/>
    </row>
    <row r="723">
      <c r="A723" s="158"/>
      <c r="C723" s="152"/>
      <c r="D723" s="152"/>
      <c r="E723" s="149"/>
      <c r="F723" s="156"/>
      <c r="G723" s="149"/>
      <c r="I723" s="157"/>
    </row>
    <row r="724">
      <c r="A724" s="158"/>
      <c r="C724" s="152"/>
      <c r="D724" s="152"/>
      <c r="E724" s="149"/>
      <c r="F724" s="156"/>
      <c r="G724" s="149"/>
      <c r="I724" s="157"/>
    </row>
    <row r="725">
      <c r="A725" s="158"/>
      <c r="C725" s="152"/>
      <c r="D725" s="152"/>
      <c r="E725" s="149"/>
      <c r="F725" s="156"/>
      <c r="G725" s="149"/>
      <c r="I725" s="157"/>
    </row>
    <row r="726">
      <c r="A726" s="158"/>
      <c r="C726" s="152"/>
      <c r="D726" s="152"/>
      <c r="E726" s="149"/>
      <c r="F726" s="156"/>
      <c r="G726" s="149"/>
      <c r="I726" s="157"/>
    </row>
    <row r="727">
      <c r="A727" s="158"/>
      <c r="C727" s="152"/>
      <c r="D727" s="152"/>
      <c r="E727" s="149"/>
      <c r="F727" s="156"/>
      <c r="G727" s="149"/>
      <c r="I727" s="157"/>
    </row>
    <row r="728">
      <c r="A728" s="158"/>
      <c r="C728" s="152"/>
      <c r="D728" s="152"/>
      <c r="E728" s="149"/>
      <c r="F728" s="156"/>
      <c r="G728" s="149"/>
      <c r="I728" s="157"/>
    </row>
    <row r="729">
      <c r="A729" s="158"/>
      <c r="C729" s="152"/>
      <c r="D729" s="152"/>
      <c r="E729" s="149"/>
      <c r="F729" s="156"/>
      <c r="G729" s="149"/>
      <c r="I729" s="157"/>
    </row>
    <row r="730">
      <c r="A730" s="158"/>
      <c r="C730" s="152"/>
      <c r="D730" s="152"/>
      <c r="E730" s="149"/>
      <c r="F730" s="156"/>
      <c r="G730" s="149"/>
      <c r="I730" s="157"/>
    </row>
    <row r="731">
      <c r="A731" s="158"/>
      <c r="C731" s="152"/>
      <c r="D731" s="152"/>
      <c r="E731" s="149"/>
      <c r="F731" s="156"/>
      <c r="G731" s="149"/>
      <c r="I731" s="157"/>
    </row>
    <row r="732">
      <c r="A732" s="158"/>
      <c r="C732" s="152"/>
      <c r="D732" s="152"/>
      <c r="E732" s="149"/>
      <c r="F732" s="156"/>
      <c r="G732" s="149"/>
      <c r="I732" s="157"/>
    </row>
    <row r="733">
      <c r="A733" s="158"/>
      <c r="C733" s="152"/>
      <c r="D733" s="152"/>
      <c r="E733" s="149"/>
      <c r="F733" s="156"/>
      <c r="G733" s="149"/>
      <c r="I733" s="157"/>
    </row>
    <row r="734">
      <c r="A734" s="158"/>
      <c r="C734" s="152"/>
      <c r="D734" s="152"/>
      <c r="E734" s="149"/>
      <c r="F734" s="156"/>
      <c r="G734" s="149"/>
      <c r="I734" s="157"/>
    </row>
    <row r="735">
      <c r="A735" s="158"/>
      <c r="C735" s="152"/>
      <c r="D735" s="152"/>
      <c r="E735" s="149"/>
      <c r="F735" s="156"/>
      <c r="G735" s="149"/>
      <c r="I735" s="157"/>
    </row>
    <row r="736">
      <c r="A736" s="158"/>
      <c r="C736" s="152"/>
      <c r="D736" s="152"/>
      <c r="E736" s="149"/>
      <c r="F736" s="156"/>
      <c r="G736" s="149"/>
      <c r="I736" s="157"/>
    </row>
    <row r="737">
      <c r="A737" s="158"/>
      <c r="C737" s="152"/>
      <c r="D737" s="152"/>
      <c r="E737" s="149"/>
      <c r="F737" s="156"/>
      <c r="G737" s="149"/>
      <c r="I737" s="157"/>
    </row>
    <row r="738">
      <c r="A738" s="158"/>
      <c r="C738" s="152"/>
      <c r="D738" s="152"/>
      <c r="E738" s="149"/>
      <c r="F738" s="156"/>
      <c r="G738" s="149"/>
      <c r="I738" s="157"/>
    </row>
    <row r="739">
      <c r="A739" s="158"/>
      <c r="C739" s="152"/>
      <c r="D739" s="152"/>
      <c r="E739" s="149"/>
      <c r="F739" s="156"/>
      <c r="G739" s="149"/>
      <c r="I739" s="157"/>
    </row>
    <row r="740">
      <c r="A740" s="158"/>
      <c r="C740" s="152"/>
      <c r="D740" s="152"/>
      <c r="E740" s="149"/>
      <c r="F740" s="156"/>
      <c r="G740" s="149"/>
      <c r="I740" s="157"/>
    </row>
    <row r="741">
      <c r="A741" s="158"/>
      <c r="C741" s="152"/>
      <c r="D741" s="152"/>
      <c r="E741" s="149"/>
      <c r="F741" s="156"/>
      <c r="G741" s="149"/>
      <c r="I741" s="157"/>
    </row>
    <row r="742">
      <c r="A742" s="158"/>
      <c r="C742" s="152"/>
      <c r="D742" s="152"/>
      <c r="E742" s="149"/>
      <c r="F742" s="156"/>
      <c r="G742" s="149"/>
      <c r="I742" s="157"/>
    </row>
    <row r="743">
      <c r="A743" s="158"/>
      <c r="C743" s="152"/>
      <c r="D743" s="152"/>
      <c r="E743" s="149"/>
      <c r="F743" s="156"/>
      <c r="G743" s="149"/>
      <c r="I743" s="157"/>
    </row>
    <row r="744">
      <c r="A744" s="158"/>
      <c r="C744" s="152"/>
      <c r="D744" s="152"/>
      <c r="E744" s="149"/>
      <c r="F744" s="156"/>
      <c r="G744" s="149"/>
      <c r="I744" s="157"/>
    </row>
    <row r="745">
      <c r="A745" s="158"/>
      <c r="C745" s="152"/>
      <c r="D745" s="152"/>
      <c r="E745" s="149"/>
      <c r="F745" s="156"/>
      <c r="G745" s="149"/>
      <c r="I745" s="157"/>
    </row>
    <row r="746">
      <c r="A746" s="158"/>
      <c r="C746" s="152"/>
      <c r="D746" s="152"/>
      <c r="E746" s="149"/>
      <c r="F746" s="156"/>
      <c r="G746" s="149"/>
      <c r="I746" s="157"/>
    </row>
    <row r="747">
      <c r="A747" s="158"/>
      <c r="C747" s="152"/>
      <c r="D747" s="152"/>
      <c r="E747" s="149"/>
      <c r="F747" s="156"/>
      <c r="G747" s="149"/>
      <c r="I747" s="157"/>
    </row>
    <row r="748">
      <c r="A748" s="158"/>
      <c r="C748" s="152"/>
      <c r="D748" s="152"/>
      <c r="E748" s="149"/>
      <c r="F748" s="156"/>
      <c r="G748" s="149"/>
      <c r="I748" s="157"/>
    </row>
    <row r="749">
      <c r="A749" s="158"/>
      <c r="C749" s="152"/>
      <c r="D749" s="152"/>
      <c r="E749" s="149"/>
      <c r="F749" s="156"/>
      <c r="G749" s="149"/>
      <c r="I749" s="157"/>
    </row>
    <row r="750">
      <c r="A750" s="158"/>
      <c r="C750" s="152"/>
      <c r="D750" s="152"/>
      <c r="E750" s="149"/>
      <c r="F750" s="156"/>
      <c r="G750" s="149"/>
      <c r="I750" s="157"/>
    </row>
    <row r="751">
      <c r="A751" s="158"/>
      <c r="C751" s="152"/>
      <c r="D751" s="152"/>
      <c r="E751" s="149"/>
      <c r="F751" s="156"/>
      <c r="G751" s="149"/>
      <c r="I751" s="157"/>
    </row>
    <row r="752">
      <c r="A752" s="158"/>
      <c r="C752" s="152"/>
      <c r="D752" s="152"/>
      <c r="E752" s="149"/>
      <c r="F752" s="156"/>
      <c r="G752" s="149"/>
      <c r="I752" s="157"/>
    </row>
    <row r="753">
      <c r="A753" s="158"/>
      <c r="C753" s="152"/>
      <c r="D753" s="152"/>
      <c r="E753" s="149"/>
      <c r="F753" s="156"/>
      <c r="G753" s="149"/>
      <c r="I753" s="157"/>
    </row>
    <row r="754">
      <c r="A754" s="158"/>
      <c r="C754" s="152"/>
      <c r="D754" s="152"/>
      <c r="E754" s="149"/>
      <c r="F754" s="156"/>
      <c r="G754" s="149"/>
      <c r="I754" s="157"/>
    </row>
    <row r="755">
      <c r="A755" s="158"/>
      <c r="C755" s="152"/>
      <c r="D755" s="152"/>
      <c r="E755" s="149"/>
      <c r="F755" s="156"/>
      <c r="G755" s="149"/>
      <c r="I755" s="157"/>
    </row>
    <row r="756">
      <c r="A756" s="158"/>
      <c r="C756" s="152"/>
      <c r="D756" s="152"/>
      <c r="E756" s="149"/>
      <c r="F756" s="156"/>
      <c r="G756" s="149"/>
      <c r="I756" s="157"/>
    </row>
    <row r="757">
      <c r="A757" s="158"/>
      <c r="C757" s="152"/>
      <c r="D757" s="152"/>
      <c r="E757" s="149"/>
      <c r="F757" s="156"/>
      <c r="G757" s="149"/>
      <c r="I757" s="157"/>
    </row>
    <row r="758">
      <c r="A758" s="158"/>
      <c r="C758" s="152"/>
      <c r="D758" s="152"/>
      <c r="E758" s="149"/>
      <c r="F758" s="156"/>
      <c r="G758" s="149"/>
      <c r="I758" s="157"/>
    </row>
    <row r="759">
      <c r="A759" s="158"/>
      <c r="C759" s="152"/>
      <c r="D759" s="152"/>
      <c r="E759" s="149"/>
      <c r="F759" s="156"/>
      <c r="G759" s="149"/>
      <c r="I759" s="157"/>
    </row>
    <row r="760">
      <c r="A760" s="158"/>
      <c r="C760" s="152"/>
      <c r="D760" s="152"/>
      <c r="E760" s="149"/>
      <c r="F760" s="156"/>
      <c r="G760" s="149"/>
      <c r="I760" s="157"/>
    </row>
    <row r="761">
      <c r="A761" s="158"/>
      <c r="C761" s="152"/>
      <c r="D761" s="152"/>
      <c r="E761" s="149"/>
      <c r="F761" s="156"/>
      <c r="G761" s="149"/>
      <c r="I761" s="157"/>
    </row>
    <row r="762">
      <c r="A762" s="158"/>
      <c r="C762" s="152"/>
      <c r="D762" s="152"/>
      <c r="E762" s="149"/>
      <c r="F762" s="156"/>
      <c r="G762" s="149"/>
      <c r="I762" s="157"/>
    </row>
    <row r="763">
      <c r="A763" s="158"/>
      <c r="C763" s="152"/>
      <c r="D763" s="152"/>
      <c r="E763" s="149"/>
      <c r="F763" s="156"/>
      <c r="G763" s="149"/>
      <c r="I763" s="157"/>
    </row>
    <row r="764">
      <c r="A764" s="158"/>
      <c r="C764" s="152"/>
      <c r="D764" s="152"/>
      <c r="E764" s="149"/>
      <c r="F764" s="156"/>
      <c r="G764" s="149"/>
      <c r="I764" s="157"/>
    </row>
    <row r="765">
      <c r="A765" s="158"/>
      <c r="C765" s="152"/>
      <c r="D765" s="152"/>
      <c r="E765" s="149"/>
      <c r="F765" s="156"/>
      <c r="G765" s="149"/>
      <c r="I765" s="157"/>
    </row>
    <row r="766">
      <c r="A766" s="158"/>
      <c r="C766" s="152"/>
      <c r="D766" s="152"/>
      <c r="E766" s="149"/>
      <c r="F766" s="156"/>
      <c r="G766" s="149"/>
      <c r="I766" s="157"/>
    </row>
    <row r="767">
      <c r="A767" s="158"/>
      <c r="C767" s="152"/>
      <c r="D767" s="152"/>
      <c r="E767" s="149"/>
      <c r="F767" s="156"/>
      <c r="G767" s="149"/>
      <c r="I767" s="157"/>
    </row>
    <row r="768">
      <c r="A768" s="158"/>
      <c r="C768" s="152"/>
      <c r="D768" s="152"/>
      <c r="E768" s="149"/>
      <c r="F768" s="156"/>
      <c r="G768" s="149"/>
      <c r="I768" s="157"/>
    </row>
    <row r="769">
      <c r="A769" s="158"/>
      <c r="C769" s="152"/>
      <c r="D769" s="152"/>
      <c r="E769" s="149"/>
      <c r="F769" s="156"/>
      <c r="G769" s="149"/>
      <c r="I769" s="157"/>
    </row>
    <row r="770">
      <c r="A770" s="158"/>
      <c r="C770" s="152"/>
      <c r="D770" s="152"/>
      <c r="E770" s="149"/>
      <c r="F770" s="156"/>
      <c r="G770" s="149"/>
      <c r="I770" s="157"/>
    </row>
    <row r="771">
      <c r="A771" s="158"/>
      <c r="C771" s="152"/>
      <c r="D771" s="152"/>
      <c r="E771" s="149"/>
      <c r="F771" s="156"/>
      <c r="G771" s="149"/>
      <c r="I771" s="157"/>
    </row>
    <row r="772">
      <c r="A772" s="158"/>
      <c r="C772" s="152"/>
      <c r="D772" s="152"/>
      <c r="E772" s="149"/>
      <c r="F772" s="156"/>
      <c r="G772" s="149"/>
      <c r="I772" s="157"/>
    </row>
    <row r="773">
      <c r="A773" s="158"/>
      <c r="C773" s="152"/>
      <c r="D773" s="152"/>
      <c r="E773" s="149"/>
      <c r="F773" s="156"/>
      <c r="G773" s="149"/>
      <c r="I773" s="157"/>
    </row>
    <row r="774">
      <c r="A774" s="158"/>
      <c r="C774" s="152"/>
      <c r="D774" s="152"/>
      <c r="E774" s="149"/>
      <c r="F774" s="156"/>
      <c r="G774" s="149"/>
      <c r="I774" s="157"/>
    </row>
    <row r="775">
      <c r="A775" s="158"/>
      <c r="C775" s="152"/>
      <c r="D775" s="152"/>
      <c r="E775" s="149"/>
      <c r="F775" s="156"/>
      <c r="G775" s="149"/>
      <c r="I775" s="157"/>
    </row>
    <row r="776">
      <c r="A776" s="158"/>
      <c r="C776" s="152"/>
      <c r="D776" s="152"/>
      <c r="E776" s="149"/>
      <c r="F776" s="156"/>
      <c r="G776" s="149"/>
      <c r="I776" s="157"/>
    </row>
    <row r="777">
      <c r="A777" s="158"/>
      <c r="C777" s="152"/>
      <c r="D777" s="152"/>
      <c r="E777" s="149"/>
      <c r="F777" s="156"/>
      <c r="G777" s="149"/>
      <c r="I777" s="157"/>
    </row>
    <row r="778">
      <c r="A778" s="158"/>
      <c r="C778" s="152"/>
      <c r="D778" s="152"/>
      <c r="E778" s="149"/>
      <c r="F778" s="156"/>
      <c r="G778" s="149"/>
      <c r="I778" s="157"/>
    </row>
    <row r="779">
      <c r="A779" s="158"/>
      <c r="C779" s="152"/>
      <c r="D779" s="152"/>
      <c r="E779" s="149"/>
      <c r="F779" s="156"/>
      <c r="G779" s="149"/>
      <c r="I779" s="157"/>
    </row>
    <row r="780">
      <c r="A780" s="158"/>
      <c r="C780" s="152"/>
      <c r="D780" s="152"/>
      <c r="E780" s="149"/>
      <c r="F780" s="156"/>
      <c r="G780" s="149"/>
      <c r="I780" s="157"/>
    </row>
    <row r="781">
      <c r="A781" s="158"/>
      <c r="C781" s="152"/>
      <c r="D781" s="152"/>
      <c r="E781" s="149"/>
      <c r="F781" s="156"/>
      <c r="G781" s="149"/>
      <c r="I781" s="157"/>
    </row>
    <row r="782">
      <c r="A782" s="158"/>
      <c r="C782" s="152"/>
      <c r="D782" s="152"/>
      <c r="E782" s="149"/>
      <c r="F782" s="156"/>
      <c r="G782" s="149"/>
      <c r="I782" s="157"/>
    </row>
    <row r="783">
      <c r="A783" s="158"/>
      <c r="C783" s="152"/>
      <c r="D783" s="152"/>
      <c r="E783" s="149"/>
      <c r="F783" s="156"/>
      <c r="G783" s="149"/>
      <c r="I783" s="157"/>
    </row>
    <row r="784">
      <c r="A784" s="158"/>
      <c r="C784" s="152"/>
      <c r="D784" s="152"/>
      <c r="E784" s="149"/>
      <c r="F784" s="156"/>
      <c r="G784" s="149"/>
      <c r="I784" s="157"/>
    </row>
    <row r="785">
      <c r="A785" s="158"/>
      <c r="C785" s="152"/>
      <c r="D785" s="152"/>
      <c r="E785" s="149"/>
      <c r="F785" s="156"/>
      <c r="G785" s="149"/>
      <c r="I785" s="157"/>
    </row>
    <row r="786">
      <c r="A786" s="158"/>
      <c r="C786" s="152"/>
      <c r="D786" s="152"/>
      <c r="E786" s="149"/>
      <c r="F786" s="156"/>
      <c r="G786" s="149"/>
      <c r="I786" s="157"/>
    </row>
    <row r="787">
      <c r="A787" s="158"/>
      <c r="C787" s="152"/>
      <c r="D787" s="152"/>
      <c r="E787" s="149"/>
      <c r="F787" s="156"/>
      <c r="G787" s="149"/>
      <c r="I787" s="157"/>
    </row>
    <row r="788">
      <c r="A788" s="158"/>
      <c r="C788" s="152"/>
      <c r="D788" s="152"/>
      <c r="E788" s="149"/>
      <c r="F788" s="156"/>
      <c r="G788" s="149"/>
      <c r="I788" s="157"/>
    </row>
    <row r="789">
      <c r="A789" s="158"/>
      <c r="C789" s="152"/>
      <c r="D789" s="152"/>
      <c r="E789" s="149"/>
      <c r="F789" s="156"/>
      <c r="G789" s="149"/>
      <c r="I789" s="157"/>
    </row>
    <row r="790">
      <c r="A790" s="158"/>
      <c r="C790" s="152"/>
      <c r="D790" s="152"/>
      <c r="E790" s="149"/>
      <c r="F790" s="156"/>
      <c r="G790" s="149"/>
      <c r="I790" s="157"/>
    </row>
    <row r="791">
      <c r="A791" s="158"/>
      <c r="C791" s="152"/>
      <c r="D791" s="152"/>
      <c r="E791" s="149"/>
      <c r="F791" s="156"/>
      <c r="G791" s="149"/>
      <c r="I791" s="157"/>
    </row>
    <row r="792">
      <c r="A792" s="158"/>
      <c r="C792" s="152"/>
      <c r="D792" s="152"/>
      <c r="E792" s="149"/>
      <c r="F792" s="156"/>
      <c r="G792" s="149"/>
      <c r="I792" s="157"/>
    </row>
    <row r="793">
      <c r="A793" s="158"/>
      <c r="C793" s="152"/>
      <c r="D793" s="152"/>
      <c r="E793" s="149"/>
      <c r="F793" s="156"/>
      <c r="G793" s="149"/>
      <c r="I793" s="157"/>
    </row>
    <row r="794">
      <c r="A794" s="158"/>
      <c r="C794" s="152"/>
      <c r="D794" s="152"/>
      <c r="E794" s="149"/>
      <c r="F794" s="156"/>
      <c r="G794" s="149"/>
      <c r="I794" s="157"/>
    </row>
    <row r="795">
      <c r="A795" s="158"/>
      <c r="C795" s="152"/>
      <c r="D795" s="152"/>
      <c r="E795" s="149"/>
      <c r="F795" s="156"/>
      <c r="G795" s="149"/>
      <c r="I795" s="157"/>
    </row>
    <row r="796">
      <c r="A796" s="158"/>
      <c r="C796" s="152"/>
      <c r="D796" s="152"/>
      <c r="E796" s="149"/>
      <c r="F796" s="156"/>
      <c r="G796" s="149"/>
      <c r="I796" s="157"/>
    </row>
    <row r="797">
      <c r="A797" s="158"/>
      <c r="C797" s="152"/>
      <c r="D797" s="152"/>
      <c r="E797" s="149"/>
      <c r="F797" s="156"/>
      <c r="G797" s="149"/>
      <c r="I797" s="157"/>
    </row>
    <row r="798">
      <c r="A798" s="158"/>
      <c r="C798" s="152"/>
      <c r="D798" s="152"/>
      <c r="E798" s="149"/>
      <c r="F798" s="156"/>
      <c r="G798" s="149"/>
      <c r="I798" s="157"/>
    </row>
    <row r="799">
      <c r="A799" s="158"/>
      <c r="C799" s="152"/>
      <c r="D799" s="152"/>
      <c r="E799" s="149"/>
      <c r="F799" s="156"/>
      <c r="G799" s="149"/>
      <c r="I799" s="157"/>
    </row>
    <row r="800">
      <c r="A800" s="158"/>
      <c r="C800" s="152"/>
      <c r="D800" s="152"/>
      <c r="E800" s="149"/>
      <c r="F800" s="156"/>
      <c r="G800" s="149"/>
      <c r="I800" s="157"/>
    </row>
    <row r="801">
      <c r="A801" s="158"/>
      <c r="C801" s="152"/>
      <c r="D801" s="152"/>
      <c r="E801" s="149"/>
      <c r="F801" s="156"/>
      <c r="G801" s="149"/>
      <c r="I801" s="157"/>
    </row>
    <row r="802">
      <c r="A802" s="158"/>
      <c r="C802" s="152"/>
      <c r="D802" s="152"/>
      <c r="E802" s="149"/>
      <c r="F802" s="156"/>
      <c r="G802" s="149"/>
      <c r="I802" s="157"/>
    </row>
    <row r="803">
      <c r="A803" s="158"/>
      <c r="C803" s="152"/>
      <c r="D803" s="152"/>
      <c r="E803" s="149"/>
      <c r="F803" s="156"/>
      <c r="G803" s="149"/>
      <c r="I803" s="157"/>
    </row>
    <row r="804">
      <c r="A804" s="158"/>
      <c r="C804" s="152"/>
      <c r="D804" s="152"/>
      <c r="E804" s="149"/>
      <c r="F804" s="156"/>
      <c r="G804" s="149"/>
      <c r="I804" s="157"/>
    </row>
    <row r="805">
      <c r="A805" s="158"/>
      <c r="C805" s="152"/>
      <c r="D805" s="152"/>
      <c r="E805" s="149"/>
      <c r="F805" s="156"/>
      <c r="G805" s="149"/>
      <c r="I805" s="157"/>
    </row>
    <row r="806">
      <c r="A806" s="158"/>
      <c r="C806" s="152"/>
      <c r="D806" s="152"/>
      <c r="E806" s="149"/>
      <c r="F806" s="156"/>
      <c r="G806" s="149"/>
      <c r="I806" s="157"/>
    </row>
    <row r="807">
      <c r="A807" s="158"/>
      <c r="C807" s="152"/>
      <c r="D807" s="152"/>
      <c r="E807" s="149"/>
      <c r="F807" s="156"/>
      <c r="G807" s="149"/>
      <c r="I807" s="157"/>
    </row>
    <row r="808">
      <c r="A808" s="158"/>
      <c r="C808" s="152"/>
      <c r="D808" s="152"/>
      <c r="E808" s="149"/>
      <c r="F808" s="156"/>
      <c r="G808" s="149"/>
      <c r="I808" s="157"/>
    </row>
    <row r="809">
      <c r="A809" s="158"/>
      <c r="C809" s="152"/>
      <c r="D809" s="152"/>
      <c r="E809" s="149"/>
      <c r="F809" s="156"/>
      <c r="G809" s="149"/>
      <c r="I809" s="157"/>
    </row>
    <row r="810">
      <c r="A810" s="158"/>
      <c r="C810" s="152"/>
      <c r="D810" s="152"/>
      <c r="E810" s="149"/>
      <c r="F810" s="156"/>
      <c r="G810" s="149"/>
      <c r="I810" s="157"/>
    </row>
    <row r="811">
      <c r="A811" s="158"/>
      <c r="C811" s="152"/>
      <c r="D811" s="152"/>
      <c r="E811" s="149"/>
      <c r="F811" s="156"/>
      <c r="G811" s="149"/>
      <c r="I811" s="157"/>
    </row>
    <row r="812">
      <c r="A812" s="158"/>
      <c r="C812" s="152"/>
      <c r="D812" s="152"/>
      <c r="E812" s="149"/>
      <c r="F812" s="156"/>
      <c r="G812" s="149"/>
      <c r="I812" s="157"/>
    </row>
    <row r="813">
      <c r="A813" s="158"/>
      <c r="C813" s="152"/>
      <c r="D813" s="152"/>
      <c r="E813" s="149"/>
      <c r="F813" s="156"/>
      <c r="G813" s="149"/>
      <c r="I813" s="157"/>
    </row>
    <row r="814">
      <c r="A814" s="158"/>
      <c r="C814" s="152"/>
      <c r="D814" s="152"/>
      <c r="E814" s="149"/>
      <c r="F814" s="156"/>
      <c r="G814" s="149"/>
      <c r="I814" s="157"/>
    </row>
    <row r="815">
      <c r="A815" s="158"/>
      <c r="C815" s="152"/>
      <c r="D815" s="152"/>
      <c r="E815" s="149"/>
      <c r="F815" s="156"/>
      <c r="G815" s="149"/>
      <c r="I815" s="157"/>
    </row>
    <row r="816">
      <c r="A816" s="158"/>
      <c r="C816" s="152"/>
      <c r="D816" s="152"/>
      <c r="E816" s="149"/>
      <c r="F816" s="156"/>
      <c r="G816" s="149"/>
      <c r="I816" s="157"/>
    </row>
    <row r="817">
      <c r="A817" s="158"/>
      <c r="C817" s="152"/>
      <c r="D817" s="152"/>
      <c r="E817" s="149"/>
      <c r="F817" s="156"/>
      <c r="G817" s="149"/>
      <c r="I817" s="157"/>
    </row>
    <row r="818">
      <c r="A818" s="158"/>
      <c r="C818" s="152"/>
      <c r="D818" s="152"/>
      <c r="E818" s="149"/>
      <c r="F818" s="156"/>
      <c r="G818" s="149"/>
      <c r="I818" s="157"/>
    </row>
    <row r="819">
      <c r="A819" s="158"/>
      <c r="C819" s="152"/>
      <c r="D819" s="152"/>
      <c r="E819" s="149"/>
      <c r="F819" s="156"/>
      <c r="G819" s="149"/>
      <c r="I819" s="157"/>
    </row>
    <row r="820">
      <c r="A820" s="158"/>
      <c r="C820" s="152"/>
      <c r="D820" s="152"/>
      <c r="E820" s="149"/>
      <c r="F820" s="156"/>
      <c r="G820" s="149"/>
      <c r="I820" s="157"/>
    </row>
    <row r="821">
      <c r="A821" s="158"/>
      <c r="C821" s="152"/>
      <c r="D821" s="152"/>
      <c r="E821" s="149"/>
      <c r="F821" s="156"/>
      <c r="G821" s="149"/>
      <c r="I821" s="157"/>
    </row>
    <row r="822">
      <c r="A822" s="158"/>
      <c r="C822" s="152"/>
      <c r="D822" s="152"/>
      <c r="E822" s="149"/>
      <c r="F822" s="156"/>
      <c r="G822" s="149"/>
      <c r="I822" s="157"/>
    </row>
    <row r="823">
      <c r="A823" s="158"/>
      <c r="C823" s="152"/>
      <c r="D823" s="152"/>
      <c r="E823" s="149"/>
      <c r="F823" s="156"/>
      <c r="G823" s="149"/>
      <c r="I823" s="157"/>
    </row>
    <row r="824">
      <c r="A824" s="158"/>
      <c r="C824" s="152"/>
      <c r="D824" s="152"/>
      <c r="E824" s="149"/>
      <c r="F824" s="156"/>
      <c r="G824" s="149"/>
      <c r="I824" s="157"/>
    </row>
    <row r="825">
      <c r="A825" s="158"/>
      <c r="C825" s="152"/>
      <c r="D825" s="152"/>
      <c r="E825" s="149"/>
      <c r="F825" s="156"/>
      <c r="G825" s="149"/>
      <c r="I825" s="157"/>
    </row>
    <row r="826">
      <c r="A826" s="158"/>
      <c r="C826" s="152"/>
      <c r="D826" s="152"/>
      <c r="E826" s="149"/>
      <c r="F826" s="156"/>
      <c r="G826" s="149"/>
      <c r="I826" s="157"/>
    </row>
    <row r="827">
      <c r="A827" s="158"/>
      <c r="C827" s="152"/>
      <c r="D827" s="152"/>
      <c r="E827" s="149"/>
      <c r="F827" s="156"/>
      <c r="G827" s="149"/>
      <c r="I827" s="157"/>
    </row>
    <row r="828">
      <c r="A828" s="158"/>
      <c r="C828" s="152"/>
      <c r="D828" s="152"/>
      <c r="E828" s="149"/>
      <c r="F828" s="156"/>
      <c r="G828" s="149"/>
      <c r="I828" s="157"/>
    </row>
    <row r="829">
      <c r="A829" s="158"/>
      <c r="C829" s="152"/>
      <c r="D829" s="152"/>
      <c r="E829" s="149"/>
      <c r="F829" s="156"/>
      <c r="G829" s="149"/>
      <c r="I829" s="157"/>
    </row>
    <row r="830">
      <c r="A830" s="158"/>
      <c r="C830" s="152"/>
      <c r="D830" s="152"/>
      <c r="E830" s="149"/>
      <c r="F830" s="156"/>
      <c r="G830" s="149"/>
      <c r="I830" s="157"/>
    </row>
    <row r="831">
      <c r="A831" s="158"/>
      <c r="C831" s="152"/>
      <c r="D831" s="152"/>
      <c r="E831" s="149"/>
      <c r="F831" s="156"/>
      <c r="G831" s="149"/>
      <c r="I831" s="157"/>
    </row>
    <row r="832">
      <c r="A832" s="158"/>
      <c r="C832" s="152"/>
      <c r="D832" s="152"/>
      <c r="E832" s="149"/>
      <c r="F832" s="156"/>
      <c r="G832" s="149"/>
      <c r="I832" s="157"/>
    </row>
    <row r="833">
      <c r="A833" s="158"/>
      <c r="C833" s="152"/>
      <c r="D833" s="152"/>
      <c r="E833" s="149"/>
      <c r="F833" s="156"/>
      <c r="G833" s="149"/>
      <c r="I833" s="157"/>
    </row>
    <row r="834">
      <c r="A834" s="158"/>
      <c r="C834" s="152"/>
      <c r="D834" s="152"/>
      <c r="E834" s="149"/>
      <c r="F834" s="156"/>
      <c r="G834" s="149"/>
      <c r="I834" s="157"/>
    </row>
    <row r="835">
      <c r="A835" s="158"/>
      <c r="C835" s="152"/>
      <c r="D835" s="152"/>
      <c r="E835" s="149"/>
      <c r="F835" s="156"/>
      <c r="G835" s="149"/>
      <c r="I835" s="157"/>
    </row>
    <row r="836">
      <c r="A836" s="158"/>
      <c r="C836" s="152"/>
      <c r="D836" s="152"/>
      <c r="E836" s="149"/>
      <c r="F836" s="156"/>
      <c r="G836" s="149"/>
      <c r="I836" s="157"/>
    </row>
    <row r="837">
      <c r="A837" s="158"/>
      <c r="C837" s="152"/>
      <c r="D837" s="152"/>
      <c r="E837" s="149"/>
      <c r="F837" s="156"/>
      <c r="G837" s="149"/>
      <c r="I837" s="157"/>
    </row>
    <row r="838">
      <c r="A838" s="158"/>
      <c r="C838" s="152"/>
      <c r="D838" s="152"/>
      <c r="E838" s="149"/>
      <c r="F838" s="156"/>
      <c r="G838" s="149"/>
      <c r="I838" s="157"/>
    </row>
    <row r="839">
      <c r="A839" s="158"/>
      <c r="C839" s="152"/>
      <c r="D839" s="152"/>
      <c r="E839" s="149"/>
      <c r="F839" s="156"/>
      <c r="G839" s="149"/>
      <c r="I839" s="157"/>
    </row>
    <row r="840">
      <c r="A840" s="158"/>
      <c r="C840" s="152"/>
      <c r="D840" s="152"/>
      <c r="E840" s="149"/>
      <c r="F840" s="156"/>
      <c r="G840" s="149"/>
      <c r="I840" s="157"/>
    </row>
    <row r="841">
      <c r="A841" s="158"/>
      <c r="C841" s="152"/>
      <c r="D841" s="152"/>
      <c r="E841" s="149"/>
      <c r="F841" s="156"/>
      <c r="G841" s="149"/>
      <c r="I841" s="157"/>
    </row>
    <row r="842">
      <c r="A842" s="158"/>
      <c r="C842" s="152"/>
      <c r="D842" s="152"/>
      <c r="E842" s="149"/>
      <c r="F842" s="156"/>
      <c r="G842" s="149"/>
      <c r="I842" s="157"/>
    </row>
    <row r="843">
      <c r="A843" s="158"/>
      <c r="C843" s="152"/>
      <c r="D843" s="152"/>
      <c r="E843" s="149"/>
      <c r="F843" s="156"/>
      <c r="G843" s="149"/>
      <c r="I843" s="157"/>
    </row>
    <row r="844">
      <c r="A844" s="158"/>
      <c r="C844" s="152"/>
      <c r="D844" s="152"/>
      <c r="E844" s="149"/>
      <c r="F844" s="156"/>
      <c r="G844" s="149"/>
      <c r="I844" s="157"/>
    </row>
    <row r="845">
      <c r="A845" s="158"/>
      <c r="C845" s="152"/>
      <c r="D845" s="152"/>
      <c r="E845" s="149"/>
      <c r="F845" s="156"/>
      <c r="G845" s="149"/>
      <c r="I845" s="157"/>
    </row>
    <row r="846">
      <c r="A846" s="158"/>
      <c r="C846" s="152"/>
      <c r="D846" s="152"/>
      <c r="E846" s="149"/>
      <c r="F846" s="156"/>
      <c r="G846" s="149"/>
      <c r="I846" s="157"/>
    </row>
    <row r="847">
      <c r="A847" s="158"/>
      <c r="C847" s="152"/>
      <c r="D847" s="152"/>
      <c r="E847" s="149"/>
      <c r="F847" s="156"/>
      <c r="G847" s="149"/>
      <c r="I847" s="157"/>
    </row>
    <row r="848">
      <c r="A848" s="158"/>
      <c r="C848" s="152"/>
      <c r="D848" s="152"/>
      <c r="E848" s="149"/>
      <c r="F848" s="156"/>
      <c r="G848" s="149"/>
      <c r="I848" s="157"/>
    </row>
    <row r="849">
      <c r="A849" s="158"/>
      <c r="C849" s="152"/>
      <c r="D849" s="152"/>
      <c r="E849" s="149"/>
      <c r="F849" s="156"/>
      <c r="G849" s="149"/>
      <c r="I849" s="157"/>
    </row>
    <row r="850">
      <c r="A850" s="158"/>
      <c r="C850" s="152"/>
      <c r="D850" s="152"/>
      <c r="E850" s="149"/>
      <c r="F850" s="156"/>
      <c r="G850" s="149"/>
      <c r="I850" s="157"/>
    </row>
    <row r="851">
      <c r="A851" s="158"/>
      <c r="C851" s="152"/>
      <c r="D851" s="152"/>
      <c r="E851" s="149"/>
      <c r="F851" s="156"/>
      <c r="G851" s="149"/>
      <c r="I851" s="157"/>
    </row>
    <row r="852">
      <c r="A852" s="158"/>
      <c r="C852" s="152"/>
      <c r="D852" s="152"/>
      <c r="E852" s="149"/>
      <c r="F852" s="156"/>
      <c r="G852" s="149"/>
      <c r="I852" s="157"/>
    </row>
    <row r="853">
      <c r="A853" s="158"/>
      <c r="C853" s="152"/>
      <c r="D853" s="152"/>
      <c r="E853" s="149"/>
      <c r="F853" s="156"/>
      <c r="G853" s="149"/>
      <c r="I853" s="157"/>
    </row>
    <row r="854">
      <c r="A854" s="158"/>
      <c r="C854" s="152"/>
      <c r="D854" s="152"/>
      <c r="E854" s="149"/>
      <c r="F854" s="156"/>
      <c r="G854" s="149"/>
      <c r="I854" s="157"/>
    </row>
    <row r="855">
      <c r="A855" s="158"/>
      <c r="C855" s="152"/>
      <c r="D855" s="152"/>
      <c r="E855" s="149"/>
      <c r="F855" s="156"/>
      <c r="G855" s="149"/>
      <c r="I855" s="157"/>
    </row>
    <row r="856">
      <c r="A856" s="158"/>
      <c r="C856" s="152"/>
      <c r="D856" s="152"/>
      <c r="E856" s="149"/>
      <c r="F856" s="156"/>
      <c r="G856" s="149"/>
      <c r="I856" s="157"/>
    </row>
    <row r="857">
      <c r="A857" s="158"/>
      <c r="C857" s="152"/>
      <c r="D857" s="152"/>
      <c r="E857" s="149"/>
      <c r="F857" s="156"/>
      <c r="G857" s="149"/>
      <c r="I857" s="157"/>
    </row>
    <row r="858">
      <c r="A858" s="158"/>
      <c r="C858" s="152"/>
      <c r="D858" s="152"/>
      <c r="E858" s="149"/>
      <c r="F858" s="156"/>
      <c r="G858" s="149"/>
      <c r="I858" s="157"/>
    </row>
    <row r="859">
      <c r="A859" s="158"/>
      <c r="C859" s="152"/>
      <c r="D859" s="152"/>
      <c r="E859" s="149"/>
      <c r="F859" s="156"/>
      <c r="G859" s="149"/>
      <c r="I859" s="157"/>
    </row>
    <row r="860">
      <c r="A860" s="158"/>
      <c r="C860" s="152"/>
      <c r="D860" s="152"/>
      <c r="E860" s="149"/>
      <c r="F860" s="156"/>
      <c r="G860" s="149"/>
      <c r="I860" s="157"/>
    </row>
    <row r="861">
      <c r="A861" s="158"/>
      <c r="C861" s="152"/>
      <c r="D861" s="152"/>
      <c r="E861" s="149"/>
      <c r="F861" s="156"/>
      <c r="G861" s="149"/>
      <c r="I861" s="157"/>
    </row>
    <row r="862">
      <c r="A862" s="158"/>
      <c r="C862" s="152"/>
      <c r="D862" s="152"/>
      <c r="E862" s="149"/>
      <c r="F862" s="156"/>
      <c r="G862" s="149"/>
      <c r="I862" s="157"/>
    </row>
    <row r="863">
      <c r="A863" s="158"/>
      <c r="C863" s="152"/>
      <c r="D863" s="152"/>
      <c r="E863" s="149"/>
      <c r="F863" s="156"/>
      <c r="G863" s="149"/>
      <c r="I863" s="157"/>
    </row>
    <row r="864">
      <c r="A864" s="158"/>
      <c r="C864" s="152"/>
      <c r="D864" s="152"/>
      <c r="E864" s="149"/>
      <c r="F864" s="156"/>
      <c r="G864" s="149"/>
      <c r="I864" s="157"/>
    </row>
    <row r="865">
      <c r="A865" s="158"/>
      <c r="C865" s="152"/>
      <c r="D865" s="152"/>
      <c r="E865" s="149"/>
      <c r="F865" s="156"/>
      <c r="G865" s="149"/>
      <c r="I865" s="157"/>
    </row>
    <row r="866">
      <c r="A866" s="158"/>
      <c r="C866" s="152"/>
      <c r="D866" s="152"/>
      <c r="E866" s="149"/>
      <c r="F866" s="156"/>
      <c r="G866" s="149"/>
      <c r="I866" s="157"/>
    </row>
    <row r="867">
      <c r="A867" s="158"/>
      <c r="C867" s="152"/>
      <c r="D867" s="152"/>
      <c r="E867" s="149"/>
      <c r="F867" s="156"/>
      <c r="G867" s="149"/>
      <c r="I867" s="157"/>
    </row>
    <row r="868">
      <c r="A868" s="158"/>
      <c r="C868" s="152"/>
      <c r="D868" s="152"/>
      <c r="E868" s="149"/>
      <c r="F868" s="156"/>
      <c r="G868" s="149"/>
      <c r="I868" s="157"/>
    </row>
    <row r="869">
      <c r="A869" s="158"/>
      <c r="C869" s="152"/>
      <c r="D869" s="152"/>
      <c r="E869" s="149"/>
      <c r="F869" s="156"/>
      <c r="G869" s="149"/>
      <c r="I869" s="157"/>
    </row>
    <row r="870">
      <c r="A870" s="158"/>
      <c r="C870" s="152"/>
      <c r="D870" s="152"/>
      <c r="E870" s="149"/>
      <c r="F870" s="156"/>
      <c r="G870" s="149"/>
      <c r="I870" s="157"/>
    </row>
    <row r="871">
      <c r="A871" s="158"/>
      <c r="C871" s="152"/>
      <c r="D871" s="152"/>
      <c r="E871" s="149"/>
      <c r="F871" s="156"/>
      <c r="G871" s="149"/>
      <c r="I871" s="157"/>
    </row>
    <row r="872">
      <c r="A872" s="158"/>
      <c r="C872" s="152"/>
      <c r="D872" s="152"/>
      <c r="E872" s="149"/>
      <c r="F872" s="156"/>
      <c r="G872" s="149"/>
      <c r="I872" s="157"/>
    </row>
    <row r="873">
      <c r="A873" s="158"/>
      <c r="C873" s="152"/>
      <c r="D873" s="152"/>
      <c r="E873" s="149"/>
      <c r="F873" s="156"/>
      <c r="G873" s="149"/>
      <c r="I873" s="157"/>
    </row>
    <row r="874">
      <c r="A874" s="158"/>
      <c r="C874" s="152"/>
      <c r="D874" s="152"/>
      <c r="E874" s="149"/>
      <c r="F874" s="156"/>
      <c r="G874" s="149"/>
      <c r="I874" s="157"/>
    </row>
    <row r="875">
      <c r="A875" s="158"/>
      <c r="C875" s="152"/>
      <c r="D875" s="152"/>
      <c r="E875" s="149"/>
      <c r="F875" s="156"/>
      <c r="G875" s="149"/>
      <c r="I875" s="157"/>
    </row>
    <row r="876">
      <c r="A876" s="158"/>
      <c r="C876" s="152"/>
      <c r="D876" s="152"/>
      <c r="E876" s="149"/>
      <c r="F876" s="156"/>
      <c r="G876" s="149"/>
      <c r="I876" s="157"/>
    </row>
    <row r="877">
      <c r="A877" s="158"/>
      <c r="C877" s="152"/>
      <c r="D877" s="152"/>
      <c r="E877" s="149"/>
      <c r="F877" s="156"/>
      <c r="G877" s="149"/>
      <c r="I877" s="157"/>
    </row>
    <row r="878">
      <c r="A878" s="158"/>
      <c r="C878" s="152"/>
      <c r="D878" s="152"/>
      <c r="E878" s="149"/>
      <c r="F878" s="156"/>
      <c r="G878" s="149"/>
      <c r="I878" s="157"/>
    </row>
    <row r="879">
      <c r="A879" s="158"/>
      <c r="C879" s="152"/>
      <c r="D879" s="152"/>
      <c r="E879" s="149"/>
      <c r="F879" s="156"/>
      <c r="G879" s="149"/>
      <c r="I879" s="157"/>
    </row>
    <row r="880">
      <c r="A880" s="158"/>
      <c r="C880" s="152"/>
      <c r="D880" s="152"/>
      <c r="E880" s="149"/>
      <c r="F880" s="156"/>
      <c r="G880" s="149"/>
      <c r="I880" s="157"/>
    </row>
    <row r="881">
      <c r="A881" s="158"/>
      <c r="C881" s="152"/>
      <c r="D881" s="152"/>
      <c r="E881" s="149"/>
      <c r="F881" s="156"/>
      <c r="G881" s="149"/>
      <c r="I881" s="157"/>
    </row>
    <row r="882">
      <c r="A882" s="158"/>
      <c r="C882" s="152"/>
      <c r="D882" s="152"/>
      <c r="E882" s="149"/>
      <c r="F882" s="156"/>
      <c r="G882" s="149"/>
      <c r="I882" s="157"/>
    </row>
    <row r="883">
      <c r="A883" s="158"/>
      <c r="C883" s="152"/>
      <c r="D883" s="152"/>
      <c r="E883" s="149"/>
      <c r="F883" s="156"/>
      <c r="G883" s="149"/>
      <c r="I883" s="157"/>
    </row>
    <row r="884">
      <c r="A884" s="158"/>
      <c r="C884" s="152"/>
      <c r="D884" s="152"/>
      <c r="E884" s="149"/>
      <c r="F884" s="156"/>
      <c r="G884" s="149"/>
      <c r="I884" s="157"/>
    </row>
    <row r="885">
      <c r="A885" s="158"/>
      <c r="C885" s="152"/>
      <c r="D885" s="152"/>
      <c r="E885" s="149"/>
      <c r="F885" s="156"/>
      <c r="G885" s="149"/>
      <c r="I885" s="157"/>
    </row>
    <row r="886">
      <c r="A886" s="158"/>
      <c r="C886" s="152"/>
      <c r="D886" s="152"/>
      <c r="E886" s="149"/>
      <c r="F886" s="156"/>
      <c r="G886" s="149"/>
      <c r="I886" s="157"/>
    </row>
    <row r="887">
      <c r="A887" s="158"/>
      <c r="C887" s="152"/>
      <c r="D887" s="152"/>
      <c r="E887" s="149"/>
      <c r="F887" s="156"/>
      <c r="G887" s="149"/>
      <c r="I887" s="157"/>
    </row>
    <row r="888">
      <c r="A888" s="158"/>
      <c r="C888" s="152"/>
      <c r="D888" s="152"/>
      <c r="E888" s="149"/>
      <c r="F888" s="156"/>
      <c r="G888" s="149"/>
      <c r="I888" s="157"/>
    </row>
    <row r="889">
      <c r="A889" s="158"/>
      <c r="C889" s="152"/>
      <c r="D889" s="152"/>
      <c r="E889" s="149"/>
      <c r="F889" s="156"/>
      <c r="G889" s="149"/>
      <c r="I889" s="157"/>
    </row>
    <row r="890">
      <c r="A890" s="158"/>
      <c r="C890" s="152"/>
      <c r="D890" s="152"/>
      <c r="E890" s="149"/>
      <c r="F890" s="156"/>
      <c r="G890" s="149"/>
      <c r="I890" s="157"/>
    </row>
    <row r="891">
      <c r="A891" s="158"/>
      <c r="C891" s="152"/>
      <c r="D891" s="152"/>
      <c r="E891" s="149"/>
      <c r="F891" s="156"/>
      <c r="G891" s="149"/>
      <c r="I891" s="157"/>
    </row>
    <row r="892">
      <c r="A892" s="158"/>
      <c r="C892" s="152"/>
      <c r="D892" s="152"/>
      <c r="E892" s="149"/>
      <c r="F892" s="156"/>
      <c r="G892" s="149"/>
      <c r="I892" s="157"/>
    </row>
    <row r="893">
      <c r="A893" s="158"/>
      <c r="C893" s="152"/>
      <c r="D893" s="152"/>
      <c r="E893" s="149"/>
      <c r="F893" s="156"/>
      <c r="G893" s="149"/>
      <c r="I893" s="157"/>
    </row>
    <row r="894">
      <c r="A894" s="158"/>
      <c r="C894" s="152"/>
      <c r="D894" s="152"/>
      <c r="E894" s="149"/>
      <c r="F894" s="156"/>
      <c r="G894" s="149"/>
      <c r="I894" s="157"/>
    </row>
    <row r="895">
      <c r="A895" s="158"/>
      <c r="C895" s="152"/>
      <c r="D895" s="152"/>
      <c r="E895" s="149"/>
      <c r="F895" s="156"/>
      <c r="G895" s="149"/>
      <c r="I895" s="157"/>
    </row>
    <row r="896">
      <c r="A896" s="158"/>
      <c r="C896" s="152"/>
      <c r="D896" s="152"/>
      <c r="E896" s="149"/>
      <c r="F896" s="156"/>
      <c r="G896" s="149"/>
      <c r="I896" s="157"/>
    </row>
    <row r="897">
      <c r="A897" s="158"/>
      <c r="C897" s="152"/>
      <c r="D897" s="152"/>
      <c r="E897" s="149"/>
      <c r="F897" s="156"/>
      <c r="G897" s="149"/>
      <c r="I897" s="157"/>
    </row>
    <row r="898">
      <c r="A898" s="158"/>
      <c r="C898" s="152"/>
      <c r="D898" s="152"/>
      <c r="E898" s="149"/>
      <c r="F898" s="156"/>
      <c r="G898" s="149"/>
      <c r="I898" s="157"/>
    </row>
    <row r="899">
      <c r="A899" s="158"/>
      <c r="C899" s="152"/>
      <c r="D899" s="152"/>
      <c r="E899" s="149"/>
      <c r="F899" s="156"/>
      <c r="G899" s="149"/>
      <c r="I899" s="157"/>
    </row>
    <row r="900">
      <c r="A900" s="158"/>
      <c r="C900" s="152"/>
      <c r="D900" s="152"/>
      <c r="E900" s="149"/>
      <c r="F900" s="156"/>
      <c r="G900" s="149"/>
      <c r="I900" s="157"/>
    </row>
    <row r="901">
      <c r="A901" s="158"/>
      <c r="C901" s="152"/>
      <c r="D901" s="152"/>
      <c r="E901" s="149"/>
      <c r="F901" s="156"/>
      <c r="G901" s="149"/>
      <c r="I901" s="157"/>
    </row>
    <row r="902">
      <c r="A902" s="158"/>
      <c r="C902" s="152"/>
      <c r="D902" s="152"/>
      <c r="E902" s="149"/>
      <c r="F902" s="156"/>
      <c r="G902" s="149"/>
      <c r="I902" s="157"/>
    </row>
    <row r="903">
      <c r="A903" s="158"/>
      <c r="C903" s="152"/>
      <c r="D903" s="152"/>
      <c r="E903" s="149"/>
      <c r="F903" s="156"/>
      <c r="G903" s="149"/>
      <c r="I903" s="157"/>
    </row>
    <row r="904">
      <c r="A904" s="158"/>
      <c r="C904" s="152"/>
      <c r="D904" s="152"/>
      <c r="E904" s="149"/>
      <c r="F904" s="156"/>
      <c r="G904" s="149"/>
      <c r="I904" s="157"/>
    </row>
    <row r="905">
      <c r="A905" s="158"/>
      <c r="C905" s="152"/>
      <c r="D905" s="152"/>
      <c r="E905" s="149"/>
      <c r="F905" s="156"/>
      <c r="G905" s="149"/>
      <c r="I905" s="157"/>
    </row>
    <row r="906">
      <c r="A906" s="158"/>
      <c r="C906" s="152"/>
      <c r="D906" s="152"/>
      <c r="E906" s="149"/>
      <c r="F906" s="156"/>
      <c r="G906" s="149"/>
      <c r="I906" s="157"/>
    </row>
    <row r="907">
      <c r="A907" s="158"/>
      <c r="C907" s="152"/>
      <c r="D907" s="152"/>
      <c r="E907" s="149"/>
      <c r="F907" s="156"/>
      <c r="G907" s="149"/>
      <c r="I907" s="157"/>
    </row>
    <row r="908">
      <c r="A908" s="158"/>
      <c r="C908" s="152"/>
      <c r="D908" s="152"/>
      <c r="E908" s="149"/>
      <c r="F908" s="156"/>
      <c r="G908" s="149"/>
      <c r="I908" s="157"/>
    </row>
    <row r="909">
      <c r="A909" s="158"/>
      <c r="C909" s="152"/>
      <c r="D909" s="152"/>
      <c r="E909" s="149"/>
      <c r="F909" s="156"/>
      <c r="G909" s="149"/>
      <c r="I909" s="157"/>
    </row>
    <row r="910">
      <c r="A910" s="158"/>
      <c r="C910" s="152"/>
      <c r="D910" s="152"/>
      <c r="E910" s="149"/>
      <c r="F910" s="156"/>
      <c r="G910" s="149"/>
      <c r="I910" s="157"/>
    </row>
    <row r="911">
      <c r="A911" s="158"/>
      <c r="C911" s="152"/>
      <c r="D911" s="152"/>
      <c r="E911" s="149"/>
      <c r="F911" s="156"/>
      <c r="G911" s="149"/>
      <c r="I911" s="157"/>
    </row>
    <row r="912">
      <c r="A912" s="158"/>
      <c r="C912" s="152"/>
      <c r="D912" s="152"/>
      <c r="E912" s="149"/>
      <c r="F912" s="156"/>
      <c r="G912" s="149"/>
      <c r="I912" s="157"/>
    </row>
    <row r="913">
      <c r="A913" s="158"/>
      <c r="C913" s="152"/>
      <c r="D913" s="152"/>
      <c r="E913" s="149"/>
      <c r="F913" s="156"/>
      <c r="G913" s="149"/>
      <c r="I913" s="157"/>
    </row>
    <row r="914">
      <c r="A914" s="158"/>
      <c r="C914" s="152"/>
      <c r="D914" s="152"/>
      <c r="E914" s="149"/>
      <c r="F914" s="156"/>
      <c r="G914" s="149"/>
      <c r="I914" s="157"/>
    </row>
    <row r="915">
      <c r="A915" s="158"/>
      <c r="C915" s="152"/>
      <c r="D915" s="152"/>
      <c r="E915" s="149"/>
      <c r="F915" s="156"/>
      <c r="G915" s="149"/>
      <c r="I915" s="157"/>
    </row>
    <row r="916">
      <c r="A916" s="158"/>
      <c r="C916" s="152"/>
      <c r="D916" s="152"/>
      <c r="E916" s="149"/>
      <c r="F916" s="156"/>
      <c r="G916" s="149"/>
      <c r="I916" s="157"/>
    </row>
    <row r="917">
      <c r="A917" s="158"/>
      <c r="C917" s="152"/>
      <c r="D917" s="152"/>
      <c r="E917" s="149"/>
      <c r="F917" s="156"/>
      <c r="G917" s="149"/>
      <c r="I917" s="157"/>
    </row>
    <row r="918">
      <c r="A918" s="158"/>
      <c r="C918" s="152"/>
      <c r="D918" s="152"/>
      <c r="E918" s="149"/>
      <c r="F918" s="156"/>
      <c r="G918" s="149"/>
      <c r="I918" s="157"/>
    </row>
    <row r="919">
      <c r="A919" s="158"/>
      <c r="C919" s="152"/>
      <c r="D919" s="152"/>
      <c r="E919" s="149"/>
      <c r="F919" s="156"/>
      <c r="G919" s="149"/>
      <c r="I919" s="157"/>
    </row>
    <row r="920">
      <c r="A920" s="158"/>
      <c r="C920" s="152"/>
      <c r="D920" s="152"/>
      <c r="E920" s="149"/>
      <c r="F920" s="156"/>
      <c r="G920" s="149"/>
      <c r="I920" s="157"/>
    </row>
    <row r="921">
      <c r="A921" s="158"/>
      <c r="C921" s="152"/>
      <c r="D921" s="152"/>
      <c r="E921" s="149"/>
      <c r="F921" s="156"/>
      <c r="G921" s="149"/>
      <c r="I921" s="157"/>
    </row>
    <row r="922">
      <c r="A922" s="158"/>
      <c r="C922" s="152"/>
      <c r="D922" s="152"/>
      <c r="E922" s="149"/>
      <c r="F922" s="156"/>
      <c r="G922" s="149"/>
      <c r="I922" s="157"/>
    </row>
    <row r="923">
      <c r="A923" s="158"/>
      <c r="C923" s="152"/>
      <c r="D923" s="152"/>
      <c r="E923" s="149"/>
      <c r="F923" s="156"/>
      <c r="G923" s="149"/>
      <c r="I923" s="157"/>
    </row>
    <row r="924">
      <c r="A924" s="158"/>
      <c r="C924" s="152"/>
      <c r="D924" s="152"/>
      <c r="E924" s="149"/>
      <c r="F924" s="156"/>
      <c r="G924" s="149"/>
      <c r="I924" s="157"/>
    </row>
    <row r="925">
      <c r="A925" s="158"/>
      <c r="C925" s="152"/>
      <c r="D925" s="152"/>
      <c r="E925" s="149"/>
      <c r="F925" s="156"/>
      <c r="G925" s="149"/>
      <c r="I925" s="157"/>
    </row>
    <row r="926">
      <c r="A926" s="158"/>
      <c r="C926" s="152"/>
      <c r="D926" s="152"/>
      <c r="E926" s="149"/>
      <c r="F926" s="156"/>
      <c r="G926" s="149"/>
      <c r="I926" s="157"/>
    </row>
    <row r="927">
      <c r="A927" s="158"/>
      <c r="C927" s="152"/>
      <c r="D927" s="152"/>
      <c r="E927" s="149"/>
      <c r="F927" s="156"/>
      <c r="G927" s="149"/>
      <c r="I927" s="157"/>
    </row>
    <row r="928">
      <c r="A928" s="158"/>
      <c r="C928" s="152"/>
      <c r="D928" s="152"/>
      <c r="E928" s="149"/>
      <c r="F928" s="156"/>
      <c r="G928" s="149"/>
      <c r="I928" s="157"/>
    </row>
    <row r="929">
      <c r="A929" s="158"/>
      <c r="C929" s="152"/>
      <c r="D929" s="152"/>
      <c r="E929" s="149"/>
      <c r="F929" s="156"/>
      <c r="G929" s="149"/>
      <c r="I929" s="157"/>
    </row>
    <row r="930">
      <c r="A930" s="158"/>
      <c r="C930" s="152"/>
      <c r="D930" s="152"/>
      <c r="E930" s="149"/>
      <c r="F930" s="156"/>
      <c r="G930" s="149"/>
      <c r="I930" s="157"/>
    </row>
    <row r="931">
      <c r="A931" s="158"/>
      <c r="C931" s="152"/>
      <c r="D931" s="152"/>
      <c r="E931" s="149"/>
      <c r="F931" s="156"/>
      <c r="G931" s="149"/>
      <c r="I931" s="157"/>
    </row>
    <row r="932">
      <c r="A932" s="158"/>
      <c r="C932" s="152"/>
      <c r="D932" s="152"/>
      <c r="E932" s="149"/>
      <c r="F932" s="156"/>
      <c r="G932" s="149"/>
      <c r="I932" s="157"/>
    </row>
    <row r="933">
      <c r="A933" s="158"/>
      <c r="C933" s="152"/>
      <c r="D933" s="152"/>
      <c r="E933" s="149"/>
      <c r="F933" s="156"/>
      <c r="G933" s="149"/>
      <c r="I933" s="157"/>
    </row>
    <row r="934">
      <c r="A934" s="158"/>
      <c r="C934" s="152"/>
      <c r="D934" s="152"/>
      <c r="E934" s="149"/>
      <c r="F934" s="156"/>
      <c r="G934" s="149"/>
      <c r="I934" s="157"/>
    </row>
    <row r="935">
      <c r="A935" s="158"/>
      <c r="C935" s="152"/>
      <c r="D935" s="152"/>
      <c r="E935" s="149"/>
      <c r="F935" s="156"/>
      <c r="G935" s="149"/>
      <c r="I935" s="157"/>
    </row>
    <row r="936">
      <c r="A936" s="158"/>
      <c r="C936" s="152"/>
      <c r="D936" s="152"/>
      <c r="E936" s="149"/>
      <c r="F936" s="156"/>
      <c r="G936" s="149"/>
      <c r="I936" s="157"/>
    </row>
    <row r="937">
      <c r="A937" s="158"/>
      <c r="C937" s="152"/>
      <c r="D937" s="152"/>
      <c r="E937" s="149"/>
      <c r="F937" s="156"/>
      <c r="G937" s="149"/>
      <c r="I937" s="157"/>
    </row>
    <row r="938">
      <c r="A938" s="158"/>
      <c r="C938" s="152"/>
      <c r="D938" s="152"/>
      <c r="E938" s="149"/>
      <c r="F938" s="156"/>
      <c r="G938" s="149"/>
      <c r="I938" s="157"/>
    </row>
    <row r="939">
      <c r="A939" s="158"/>
      <c r="C939" s="152"/>
      <c r="D939" s="152"/>
      <c r="E939" s="149"/>
      <c r="F939" s="156"/>
      <c r="G939" s="149"/>
      <c r="I939" s="157"/>
    </row>
    <row r="940">
      <c r="A940" s="158"/>
      <c r="C940" s="152"/>
      <c r="D940" s="152"/>
      <c r="E940" s="149"/>
      <c r="F940" s="156"/>
      <c r="G940" s="149"/>
      <c r="I940" s="157"/>
    </row>
    <row r="941">
      <c r="A941" s="158"/>
      <c r="C941" s="152"/>
      <c r="D941" s="152"/>
      <c r="E941" s="149"/>
      <c r="F941" s="156"/>
      <c r="G941" s="149"/>
      <c r="I941" s="157"/>
    </row>
    <row r="942">
      <c r="A942" s="158"/>
      <c r="C942" s="152"/>
      <c r="D942" s="152"/>
      <c r="E942" s="149"/>
      <c r="F942" s="156"/>
      <c r="G942" s="149"/>
      <c r="I942" s="157"/>
    </row>
    <row r="943">
      <c r="A943" s="158"/>
      <c r="C943" s="152"/>
      <c r="D943" s="152"/>
      <c r="E943" s="149"/>
      <c r="F943" s="156"/>
      <c r="G943" s="149"/>
      <c r="I943" s="157"/>
    </row>
    <row r="944">
      <c r="A944" s="158"/>
      <c r="C944" s="152"/>
      <c r="D944" s="152"/>
      <c r="E944" s="149"/>
      <c r="F944" s="156"/>
      <c r="G944" s="149"/>
      <c r="I944" s="157"/>
    </row>
    <row r="945">
      <c r="A945" s="158"/>
      <c r="C945" s="152"/>
      <c r="D945" s="152"/>
      <c r="E945" s="149"/>
      <c r="F945" s="156"/>
      <c r="G945" s="149"/>
      <c r="I945" s="157"/>
    </row>
    <row r="946">
      <c r="A946" s="158"/>
      <c r="C946" s="152"/>
      <c r="D946" s="152"/>
      <c r="E946" s="149"/>
      <c r="F946" s="156"/>
      <c r="G946" s="149"/>
      <c r="I946" s="157"/>
    </row>
    <row r="947">
      <c r="A947" s="158"/>
      <c r="C947" s="152"/>
      <c r="D947" s="152"/>
      <c r="E947" s="149"/>
      <c r="F947" s="156"/>
      <c r="G947" s="149"/>
      <c r="I947" s="157"/>
    </row>
    <row r="948">
      <c r="A948" s="158"/>
      <c r="C948" s="152"/>
      <c r="D948" s="152"/>
      <c r="E948" s="149"/>
      <c r="F948" s="156"/>
      <c r="G948" s="149"/>
      <c r="I948" s="157"/>
    </row>
    <row r="949">
      <c r="A949" s="158"/>
      <c r="C949" s="152"/>
      <c r="D949" s="152"/>
      <c r="E949" s="149"/>
      <c r="F949" s="156"/>
      <c r="G949" s="149"/>
      <c r="I949" s="157"/>
    </row>
    <row r="950">
      <c r="A950" s="158"/>
      <c r="C950" s="152"/>
      <c r="D950" s="152"/>
      <c r="E950" s="149"/>
      <c r="F950" s="156"/>
      <c r="G950" s="149"/>
      <c r="I950" s="157"/>
    </row>
    <row r="951">
      <c r="A951" s="158"/>
      <c r="C951" s="152"/>
      <c r="D951" s="152"/>
      <c r="E951" s="149"/>
      <c r="F951" s="156"/>
      <c r="G951" s="149"/>
      <c r="I951" s="157"/>
    </row>
    <row r="952">
      <c r="A952" s="158"/>
      <c r="C952" s="152"/>
      <c r="D952" s="152"/>
      <c r="E952" s="149"/>
      <c r="F952" s="156"/>
      <c r="G952" s="149"/>
      <c r="I952" s="157"/>
    </row>
    <row r="953">
      <c r="A953" s="158"/>
      <c r="C953" s="152"/>
      <c r="D953" s="152"/>
      <c r="E953" s="149"/>
      <c r="F953" s="156"/>
      <c r="G953" s="149"/>
      <c r="I953" s="157"/>
    </row>
    <row r="954">
      <c r="A954" s="158"/>
      <c r="C954" s="152"/>
      <c r="D954" s="152"/>
      <c r="E954" s="149"/>
      <c r="F954" s="156"/>
      <c r="G954" s="149"/>
      <c r="I954" s="157"/>
    </row>
    <row r="955">
      <c r="A955" s="158"/>
      <c r="C955" s="152"/>
      <c r="D955" s="152"/>
      <c r="E955" s="149"/>
      <c r="F955" s="156"/>
      <c r="G955" s="149"/>
      <c r="I955" s="157"/>
    </row>
    <row r="956">
      <c r="A956" s="158"/>
      <c r="C956" s="152"/>
      <c r="D956" s="152"/>
      <c r="E956" s="149"/>
      <c r="F956" s="156"/>
      <c r="G956" s="149"/>
      <c r="I956" s="157"/>
    </row>
    <row r="957">
      <c r="A957" s="158"/>
      <c r="C957" s="152"/>
      <c r="D957" s="152"/>
      <c r="E957" s="149"/>
      <c r="F957" s="156"/>
      <c r="G957" s="149"/>
      <c r="I957" s="157"/>
    </row>
    <row r="958">
      <c r="A958" s="158"/>
      <c r="C958" s="152"/>
      <c r="D958" s="152"/>
      <c r="E958" s="149"/>
      <c r="F958" s="156"/>
      <c r="G958" s="149"/>
      <c r="I958" s="157"/>
    </row>
    <row r="959">
      <c r="A959" s="158"/>
      <c r="C959" s="152"/>
      <c r="D959" s="152"/>
      <c r="E959" s="149"/>
      <c r="F959" s="156"/>
      <c r="G959" s="149"/>
      <c r="I959" s="157"/>
    </row>
    <row r="960">
      <c r="A960" s="158"/>
      <c r="C960" s="152"/>
      <c r="D960" s="152"/>
      <c r="E960" s="149"/>
      <c r="F960" s="156"/>
      <c r="G960" s="149"/>
      <c r="I960" s="157"/>
    </row>
    <row r="961">
      <c r="A961" s="158"/>
      <c r="C961" s="152"/>
      <c r="D961" s="152"/>
      <c r="E961" s="149"/>
      <c r="F961" s="156"/>
      <c r="G961" s="149"/>
      <c r="I961" s="157"/>
    </row>
    <row r="962">
      <c r="A962" s="158"/>
      <c r="C962" s="152"/>
      <c r="D962" s="152"/>
      <c r="E962" s="149"/>
      <c r="F962" s="156"/>
      <c r="G962" s="149"/>
      <c r="I962" s="157"/>
    </row>
    <row r="963">
      <c r="A963" s="158"/>
      <c r="C963" s="152"/>
      <c r="D963" s="152"/>
      <c r="E963" s="149"/>
      <c r="F963" s="156"/>
      <c r="G963" s="149"/>
      <c r="I963" s="157"/>
    </row>
    <row r="964">
      <c r="A964" s="158"/>
      <c r="C964" s="152"/>
      <c r="D964" s="152"/>
      <c r="E964" s="149"/>
      <c r="F964" s="156"/>
      <c r="G964" s="149"/>
      <c r="I964" s="157"/>
    </row>
    <row r="965">
      <c r="A965" s="158"/>
      <c r="C965" s="152"/>
      <c r="D965" s="152"/>
      <c r="E965" s="149"/>
      <c r="F965" s="156"/>
      <c r="G965" s="149"/>
      <c r="I965" s="157"/>
    </row>
    <row r="966">
      <c r="A966" s="158"/>
      <c r="C966" s="152"/>
      <c r="D966" s="152"/>
      <c r="E966" s="149"/>
      <c r="F966" s="156"/>
      <c r="G966" s="149"/>
      <c r="I966" s="157"/>
    </row>
    <row r="967">
      <c r="A967" s="158"/>
      <c r="C967" s="152"/>
      <c r="D967" s="152"/>
      <c r="E967" s="149"/>
      <c r="F967" s="156"/>
      <c r="G967" s="149"/>
      <c r="I967" s="157"/>
    </row>
    <row r="968">
      <c r="A968" s="158"/>
      <c r="C968" s="152"/>
      <c r="D968" s="152"/>
      <c r="E968" s="149"/>
      <c r="F968" s="156"/>
      <c r="G968" s="149"/>
      <c r="I968" s="157"/>
    </row>
    <row r="969">
      <c r="A969" s="158"/>
      <c r="C969" s="152"/>
      <c r="D969" s="152"/>
      <c r="E969" s="149"/>
      <c r="F969" s="156"/>
      <c r="G969" s="149"/>
      <c r="I969" s="157"/>
    </row>
    <row r="970">
      <c r="A970" s="158"/>
      <c r="C970" s="152"/>
      <c r="D970" s="152"/>
      <c r="E970" s="149"/>
      <c r="F970" s="156"/>
      <c r="G970" s="149"/>
      <c r="I970" s="157"/>
    </row>
    <row r="971">
      <c r="A971" s="158"/>
      <c r="C971" s="152"/>
      <c r="D971" s="152"/>
      <c r="E971" s="149"/>
      <c r="F971" s="156"/>
      <c r="G971" s="149"/>
      <c r="I971" s="157"/>
    </row>
    <row r="972">
      <c r="A972" s="158"/>
      <c r="C972" s="152"/>
      <c r="D972" s="152"/>
      <c r="E972" s="149"/>
      <c r="F972" s="156"/>
      <c r="G972" s="149"/>
      <c r="I972" s="157"/>
    </row>
    <row r="973">
      <c r="A973" s="158"/>
      <c r="C973" s="152"/>
      <c r="D973" s="152"/>
      <c r="E973" s="149"/>
      <c r="F973" s="156"/>
      <c r="G973" s="149"/>
      <c r="I973" s="157"/>
    </row>
    <row r="974">
      <c r="A974" s="158"/>
      <c r="C974" s="152"/>
      <c r="D974" s="152"/>
      <c r="E974" s="149"/>
      <c r="F974" s="156"/>
      <c r="G974" s="149"/>
      <c r="I974" s="157"/>
    </row>
    <row r="975">
      <c r="A975" s="158"/>
      <c r="C975" s="152"/>
      <c r="D975" s="152"/>
      <c r="E975" s="149"/>
      <c r="F975" s="156"/>
      <c r="G975" s="149"/>
      <c r="I975" s="157"/>
    </row>
    <row r="976">
      <c r="A976" s="158"/>
      <c r="C976" s="152"/>
      <c r="D976" s="152"/>
      <c r="E976" s="149"/>
      <c r="F976" s="156"/>
      <c r="G976" s="149"/>
      <c r="I976" s="157"/>
    </row>
    <row r="977">
      <c r="A977" s="158"/>
      <c r="C977" s="152"/>
      <c r="D977" s="152"/>
      <c r="E977" s="149"/>
      <c r="F977" s="156"/>
      <c r="G977" s="149"/>
      <c r="I977" s="157"/>
    </row>
    <row r="978">
      <c r="A978" s="158"/>
      <c r="C978" s="152"/>
      <c r="D978" s="152"/>
      <c r="E978" s="149"/>
      <c r="F978" s="156"/>
      <c r="G978" s="149"/>
      <c r="I978" s="157"/>
    </row>
    <row r="979">
      <c r="A979" s="158"/>
      <c r="C979" s="152"/>
      <c r="D979" s="152"/>
      <c r="E979" s="149"/>
      <c r="F979" s="156"/>
      <c r="G979" s="149"/>
      <c r="I979" s="157"/>
    </row>
    <row r="980">
      <c r="A980" s="158"/>
      <c r="C980" s="152"/>
      <c r="D980" s="152"/>
      <c r="E980" s="149"/>
      <c r="F980" s="156"/>
      <c r="G980" s="149"/>
      <c r="I980" s="157"/>
    </row>
    <row r="981">
      <c r="A981" s="158"/>
      <c r="C981" s="152"/>
      <c r="D981" s="152"/>
      <c r="E981" s="149"/>
      <c r="F981" s="156"/>
      <c r="G981" s="149"/>
      <c r="I981" s="157"/>
    </row>
    <row r="982">
      <c r="A982" s="158"/>
      <c r="C982" s="152"/>
      <c r="D982" s="152"/>
      <c r="E982" s="149"/>
      <c r="F982" s="156"/>
      <c r="G982" s="149"/>
      <c r="I982" s="157"/>
    </row>
    <row r="983">
      <c r="A983" s="158"/>
      <c r="C983" s="152"/>
      <c r="D983" s="152"/>
      <c r="E983" s="149"/>
      <c r="F983" s="156"/>
      <c r="G983" s="149"/>
      <c r="I983" s="157"/>
    </row>
    <row r="984">
      <c r="A984" s="158"/>
      <c r="C984" s="152"/>
      <c r="D984" s="152"/>
      <c r="E984" s="149"/>
      <c r="F984" s="156"/>
      <c r="G984" s="149"/>
      <c r="I984" s="157"/>
    </row>
    <row r="985">
      <c r="A985" s="158"/>
      <c r="C985" s="152"/>
      <c r="D985" s="152"/>
      <c r="E985" s="149"/>
      <c r="F985" s="156"/>
      <c r="G985" s="149"/>
      <c r="I985" s="157"/>
    </row>
    <row r="986">
      <c r="A986" s="158"/>
      <c r="C986" s="152"/>
      <c r="D986" s="152"/>
      <c r="E986" s="149"/>
      <c r="F986" s="156"/>
      <c r="G986" s="149"/>
      <c r="I986" s="157"/>
    </row>
    <row r="987">
      <c r="A987" s="158"/>
      <c r="C987" s="152"/>
      <c r="D987" s="152"/>
      <c r="E987" s="149"/>
      <c r="F987" s="156"/>
      <c r="G987" s="149"/>
      <c r="I987" s="157"/>
    </row>
    <row r="988">
      <c r="A988" s="158"/>
      <c r="C988" s="152"/>
      <c r="D988" s="152"/>
      <c r="E988" s="149"/>
      <c r="F988" s="156"/>
      <c r="G988" s="149"/>
      <c r="I988" s="157"/>
    </row>
    <row r="989">
      <c r="A989" s="158"/>
      <c r="C989" s="152"/>
      <c r="D989" s="152"/>
      <c r="E989" s="149"/>
      <c r="F989" s="156"/>
      <c r="G989" s="149"/>
      <c r="I989" s="157"/>
    </row>
    <row r="990">
      <c r="A990" s="158"/>
      <c r="C990" s="152"/>
      <c r="D990" s="152"/>
      <c r="E990" s="149"/>
      <c r="F990" s="156"/>
      <c r="G990" s="149"/>
      <c r="I990" s="157"/>
    </row>
    <row r="991">
      <c r="A991" s="158"/>
      <c r="C991" s="152"/>
      <c r="D991" s="152"/>
      <c r="E991" s="149"/>
      <c r="F991" s="156"/>
      <c r="G991" s="149"/>
      <c r="I991" s="157"/>
    </row>
    <row r="992">
      <c r="A992" s="158"/>
      <c r="C992" s="152"/>
      <c r="D992" s="152"/>
      <c r="E992" s="149"/>
      <c r="F992" s="156"/>
      <c r="G992" s="149"/>
      <c r="I992" s="157"/>
    </row>
    <row r="993">
      <c r="A993" s="158"/>
      <c r="C993" s="152"/>
      <c r="D993" s="152"/>
      <c r="E993" s="149"/>
      <c r="F993" s="156"/>
      <c r="G993" s="149"/>
      <c r="I993" s="157"/>
    </row>
    <row r="994">
      <c r="A994" s="158"/>
      <c r="C994" s="152"/>
      <c r="D994" s="152"/>
      <c r="E994" s="149"/>
      <c r="F994" s="156"/>
      <c r="G994" s="149"/>
      <c r="I994" s="157"/>
    </row>
    <row r="995">
      <c r="A995" s="158"/>
      <c r="C995" s="152"/>
      <c r="D995" s="152"/>
      <c r="E995" s="149"/>
      <c r="F995" s="156"/>
      <c r="G995" s="149"/>
      <c r="I995" s="157"/>
    </row>
    <row r="996">
      <c r="A996" s="158"/>
      <c r="C996" s="152"/>
      <c r="D996" s="152"/>
      <c r="E996" s="149"/>
      <c r="F996" s="156"/>
      <c r="G996" s="149"/>
      <c r="I996" s="157"/>
    </row>
    <row r="997">
      <c r="A997" s="158"/>
      <c r="C997" s="152"/>
      <c r="D997" s="152"/>
      <c r="E997" s="149"/>
      <c r="F997" s="156"/>
      <c r="G997" s="149"/>
      <c r="I997" s="157"/>
    </row>
    <row r="998">
      <c r="A998" s="158"/>
      <c r="C998" s="152"/>
      <c r="D998" s="152"/>
      <c r="E998" s="149"/>
      <c r="F998" s="156"/>
      <c r="G998" s="149"/>
      <c r="I998" s="157"/>
    </row>
    <row r="999">
      <c r="A999" s="158"/>
      <c r="C999" s="152"/>
      <c r="D999" s="152"/>
      <c r="E999" s="149"/>
      <c r="F999" s="156"/>
      <c r="G999" s="149"/>
      <c r="I999" s="157"/>
    </row>
    <row r="1000">
      <c r="A1000" s="158"/>
      <c r="C1000" s="152"/>
      <c r="D1000" s="152"/>
      <c r="E1000" s="149"/>
      <c r="F1000" s="156"/>
      <c r="G1000" s="149"/>
      <c r="I1000" s="157"/>
    </row>
    <row r="1001">
      <c r="A1001" s="158"/>
      <c r="C1001" s="152"/>
      <c r="D1001" s="152"/>
      <c r="E1001" s="149"/>
      <c r="F1001" s="156"/>
      <c r="G1001" s="149"/>
      <c r="I1001" s="157"/>
    </row>
    <row r="1002">
      <c r="A1002" s="158"/>
      <c r="C1002" s="152"/>
      <c r="D1002" s="152"/>
      <c r="E1002" s="149"/>
      <c r="F1002" s="156"/>
      <c r="G1002" s="149"/>
      <c r="I1002" s="157"/>
    </row>
    <row r="1003">
      <c r="A1003" s="158"/>
      <c r="C1003" s="152"/>
      <c r="D1003" s="152"/>
      <c r="E1003" s="149"/>
      <c r="F1003" s="156"/>
      <c r="G1003" s="149"/>
      <c r="I1003" s="157"/>
    </row>
    <row r="1004">
      <c r="A1004" s="158"/>
      <c r="C1004" s="152"/>
      <c r="D1004" s="152"/>
      <c r="E1004" s="149"/>
      <c r="F1004" s="156"/>
      <c r="G1004" s="149"/>
      <c r="I1004" s="157"/>
    </row>
    <row r="1005">
      <c r="A1005" s="158"/>
      <c r="C1005" s="152"/>
      <c r="D1005" s="152"/>
      <c r="E1005" s="149"/>
      <c r="F1005" s="156"/>
      <c r="G1005" s="149"/>
      <c r="I1005" s="157"/>
    </row>
    <row r="1006">
      <c r="A1006" s="158"/>
      <c r="C1006" s="152"/>
      <c r="D1006" s="152"/>
      <c r="E1006" s="149"/>
      <c r="F1006" s="156"/>
      <c r="G1006" s="149"/>
      <c r="I1006" s="157"/>
    </row>
    <row r="1007">
      <c r="A1007" s="158"/>
      <c r="C1007" s="152"/>
      <c r="D1007" s="152"/>
      <c r="E1007" s="149"/>
      <c r="F1007" s="156"/>
      <c r="G1007" s="149"/>
      <c r="I1007" s="157"/>
    </row>
    <row r="1008">
      <c r="A1008" s="158"/>
      <c r="C1008" s="152"/>
      <c r="D1008" s="152"/>
      <c r="E1008" s="149"/>
      <c r="F1008" s="156"/>
      <c r="G1008" s="149"/>
      <c r="I1008" s="157"/>
    </row>
    <row r="1009">
      <c r="A1009" s="158"/>
      <c r="C1009" s="152"/>
      <c r="D1009" s="152"/>
      <c r="E1009" s="149"/>
      <c r="F1009" s="156"/>
      <c r="G1009" s="149"/>
      <c r="I1009" s="157"/>
    </row>
    <row r="1010">
      <c r="A1010" s="158"/>
      <c r="C1010" s="152"/>
      <c r="D1010" s="152"/>
      <c r="E1010" s="149"/>
      <c r="F1010" s="156"/>
      <c r="G1010" s="149"/>
      <c r="I1010" s="157"/>
    </row>
    <row r="1011">
      <c r="A1011" s="158"/>
      <c r="C1011" s="152"/>
      <c r="D1011" s="152"/>
      <c r="E1011" s="149"/>
      <c r="F1011" s="156"/>
      <c r="G1011" s="149"/>
      <c r="I1011" s="157"/>
    </row>
    <row r="1012">
      <c r="A1012" s="158"/>
      <c r="C1012" s="152"/>
      <c r="D1012" s="152"/>
      <c r="E1012" s="149"/>
      <c r="F1012" s="156"/>
      <c r="G1012" s="149"/>
      <c r="I1012" s="15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0"/>
    <col customWidth="1" min="2" max="2" width="25.75"/>
    <col customWidth="1" min="3" max="3" width="11.5"/>
    <col customWidth="1" min="4" max="5" width="32.38"/>
    <col customWidth="1" min="6" max="6" width="39.25"/>
    <col customWidth="1" min="7" max="7" width="20.88"/>
    <col customWidth="1" min="8" max="8" width="17.75"/>
    <col customWidth="1" min="9" max="9" width="14.88"/>
    <col customWidth="1" min="10" max="10" width="15.88"/>
    <col customWidth="1" min="11" max="11" width="19.0"/>
    <col customWidth="1" min="12" max="13" width="17.75"/>
  </cols>
  <sheetData>
    <row r="1">
      <c r="A1" s="1" t="s">
        <v>0</v>
      </c>
      <c r="B1" s="52" t="s">
        <v>1</v>
      </c>
      <c r="C1" s="159" t="s">
        <v>303</v>
      </c>
      <c r="D1" s="54" t="s">
        <v>304</v>
      </c>
      <c r="E1" s="54" t="s">
        <v>305</v>
      </c>
      <c r="F1" s="54" t="s">
        <v>306</v>
      </c>
      <c r="G1" s="51" t="s">
        <v>307</v>
      </c>
      <c r="H1" s="160" t="s">
        <v>308</v>
      </c>
      <c r="I1" s="161" t="s">
        <v>309</v>
      </c>
      <c r="J1" s="161" t="s">
        <v>310</v>
      </c>
      <c r="K1" s="161" t="s">
        <v>311</v>
      </c>
      <c r="L1" s="161" t="s">
        <v>312</v>
      </c>
      <c r="M1" s="161" t="s">
        <v>313</v>
      </c>
      <c r="N1" s="54" t="s">
        <v>13</v>
      </c>
      <c r="O1" s="54" t="s">
        <v>314</v>
      </c>
      <c r="P1" s="52"/>
      <c r="Q1" s="52"/>
      <c r="R1" s="52"/>
      <c r="S1" s="52"/>
      <c r="T1" s="52"/>
      <c r="U1" s="52"/>
      <c r="V1" s="52"/>
      <c r="W1" s="52"/>
      <c r="X1" s="52"/>
      <c r="Y1" s="52"/>
      <c r="Z1" s="52"/>
      <c r="AA1" s="52"/>
      <c r="AB1" s="52"/>
      <c r="AC1" s="52"/>
      <c r="AD1" s="52"/>
      <c r="AE1" s="52"/>
      <c r="AF1" s="52"/>
      <c r="AG1" s="52"/>
    </row>
    <row r="2">
      <c r="A2" s="40" t="s">
        <v>98</v>
      </c>
      <c r="B2" s="29" t="s">
        <v>99</v>
      </c>
      <c r="C2" s="76" t="s">
        <v>238</v>
      </c>
      <c r="D2" s="29">
        <v>1900.0</v>
      </c>
      <c r="E2" s="29"/>
      <c r="F2" s="29">
        <v>60.0</v>
      </c>
      <c r="G2" s="48">
        <f t="shared" ref="G2:G8" si="1">sum(D2:F2)</f>
        <v>1960</v>
      </c>
      <c r="H2" s="73">
        <v>180000.0</v>
      </c>
      <c r="I2" s="29" t="s">
        <v>315</v>
      </c>
      <c r="J2" s="29" t="str">
        <f t="shared" ref="J2:J8" si="2">concatenate("q", "/", G2, " * $", H2)</f>
        <v>q/1960 * $180000</v>
      </c>
      <c r="K2" s="73">
        <f t="shared" ref="K2:K8" si="3">H2*0.75</f>
        <v>135000</v>
      </c>
      <c r="L2" s="29" t="s">
        <v>316</v>
      </c>
      <c r="M2" s="74">
        <f t="shared" ref="M2:M8" si="4">H2+(H2*0.2)</f>
        <v>216000</v>
      </c>
    </row>
    <row r="3">
      <c r="A3" s="40" t="s">
        <v>98</v>
      </c>
      <c r="B3" s="29" t="s">
        <v>99</v>
      </c>
      <c r="C3" s="76" t="s">
        <v>239</v>
      </c>
      <c r="D3" s="29">
        <v>1700.0</v>
      </c>
      <c r="E3" s="29"/>
      <c r="F3" s="29">
        <v>60.0</v>
      </c>
      <c r="G3" s="48">
        <f t="shared" si="1"/>
        <v>1760</v>
      </c>
      <c r="H3" s="73">
        <v>180000.0</v>
      </c>
      <c r="I3" s="29" t="s">
        <v>315</v>
      </c>
      <c r="J3" s="29" t="str">
        <f t="shared" si="2"/>
        <v>q/1760 * $180000</v>
      </c>
      <c r="K3" s="73">
        <f t="shared" si="3"/>
        <v>135000</v>
      </c>
      <c r="L3" s="29" t="s">
        <v>316</v>
      </c>
      <c r="M3" s="74">
        <f t="shared" si="4"/>
        <v>216000</v>
      </c>
    </row>
    <row r="4">
      <c r="A4" s="40" t="s">
        <v>98</v>
      </c>
      <c r="B4" s="29" t="s">
        <v>99</v>
      </c>
      <c r="C4" s="76" t="s">
        <v>240</v>
      </c>
      <c r="D4" s="29">
        <v>1650.0</v>
      </c>
      <c r="E4" s="29"/>
      <c r="F4" s="29">
        <v>60.0</v>
      </c>
      <c r="G4" s="48">
        <f t="shared" si="1"/>
        <v>1710</v>
      </c>
      <c r="H4" s="73">
        <v>180000.0</v>
      </c>
      <c r="I4" s="29" t="s">
        <v>315</v>
      </c>
      <c r="J4" s="29" t="str">
        <f t="shared" si="2"/>
        <v>q/1710 * $180000</v>
      </c>
      <c r="K4" s="73">
        <f t="shared" si="3"/>
        <v>135000</v>
      </c>
      <c r="L4" s="29" t="s">
        <v>316</v>
      </c>
      <c r="M4" s="74">
        <f t="shared" si="4"/>
        <v>216000</v>
      </c>
    </row>
    <row r="5">
      <c r="A5" s="40" t="s">
        <v>98</v>
      </c>
      <c r="B5" s="29" t="s">
        <v>99</v>
      </c>
      <c r="C5" s="76" t="s">
        <v>241</v>
      </c>
      <c r="D5" s="29">
        <v>1650.0</v>
      </c>
      <c r="E5" s="29"/>
      <c r="F5" s="29">
        <v>60.0</v>
      </c>
      <c r="G5" s="48">
        <f t="shared" si="1"/>
        <v>1710</v>
      </c>
      <c r="H5" s="73">
        <v>180000.0</v>
      </c>
      <c r="I5" s="29" t="s">
        <v>315</v>
      </c>
      <c r="J5" s="29" t="str">
        <f t="shared" si="2"/>
        <v>q/1710 * $180000</v>
      </c>
      <c r="K5" s="73">
        <f t="shared" si="3"/>
        <v>135000</v>
      </c>
      <c r="L5" s="29" t="s">
        <v>316</v>
      </c>
      <c r="M5" s="74">
        <f t="shared" si="4"/>
        <v>216000</v>
      </c>
    </row>
    <row r="6">
      <c r="A6" s="40" t="s">
        <v>98</v>
      </c>
      <c r="B6" s="29" t="s">
        <v>99</v>
      </c>
      <c r="C6" s="76" t="s">
        <v>242</v>
      </c>
      <c r="D6" s="29">
        <v>1650.0</v>
      </c>
      <c r="E6" s="29"/>
      <c r="F6" s="29">
        <v>60.0</v>
      </c>
      <c r="G6" s="48">
        <f t="shared" si="1"/>
        <v>1710</v>
      </c>
      <c r="H6" s="73">
        <v>180000.0</v>
      </c>
      <c r="I6" s="29" t="s">
        <v>315</v>
      </c>
      <c r="J6" s="29" t="str">
        <f t="shared" si="2"/>
        <v>q/1710 * $180000</v>
      </c>
      <c r="K6" s="73">
        <f t="shared" si="3"/>
        <v>135000</v>
      </c>
      <c r="L6" s="29" t="s">
        <v>316</v>
      </c>
      <c r="M6" s="74">
        <f t="shared" si="4"/>
        <v>216000</v>
      </c>
    </row>
    <row r="7">
      <c r="A7" s="40" t="s">
        <v>98</v>
      </c>
      <c r="B7" s="29" t="s">
        <v>99</v>
      </c>
      <c r="C7" s="76" t="s">
        <v>243</v>
      </c>
      <c r="D7" s="29">
        <v>1650.0</v>
      </c>
      <c r="E7" s="29"/>
      <c r="F7" s="29">
        <v>60.0</v>
      </c>
      <c r="G7" s="48">
        <f t="shared" si="1"/>
        <v>1710</v>
      </c>
      <c r="H7" s="73">
        <v>180000.0</v>
      </c>
      <c r="I7" s="29" t="s">
        <v>315</v>
      </c>
      <c r="J7" s="29" t="str">
        <f t="shared" si="2"/>
        <v>q/1710 * $180000</v>
      </c>
      <c r="K7" s="73">
        <f t="shared" si="3"/>
        <v>135000</v>
      </c>
      <c r="L7" s="29" t="s">
        <v>316</v>
      </c>
      <c r="M7" s="74">
        <f t="shared" si="4"/>
        <v>216000</v>
      </c>
    </row>
    <row r="8">
      <c r="A8" s="40" t="s">
        <v>98</v>
      </c>
      <c r="B8" s="29" t="s">
        <v>99</v>
      </c>
      <c r="C8" s="76" t="s">
        <v>244</v>
      </c>
      <c r="D8" s="29">
        <v>1650.0</v>
      </c>
      <c r="E8" s="29"/>
      <c r="F8" s="29">
        <v>60.0</v>
      </c>
      <c r="G8" s="48">
        <f t="shared" si="1"/>
        <v>1710</v>
      </c>
      <c r="H8" s="73">
        <v>180000.0</v>
      </c>
      <c r="I8" s="29" t="s">
        <v>315</v>
      </c>
      <c r="J8" s="29" t="str">
        <f t="shared" si="2"/>
        <v>q/1710 * $180000</v>
      </c>
      <c r="K8" s="73">
        <f t="shared" si="3"/>
        <v>135000</v>
      </c>
      <c r="L8" s="29" t="s">
        <v>316</v>
      </c>
      <c r="M8" s="74">
        <f t="shared" si="4"/>
        <v>216000</v>
      </c>
    </row>
    <row r="9">
      <c r="A9" s="44"/>
      <c r="B9" s="46"/>
      <c r="C9" s="77"/>
      <c r="D9" s="92"/>
      <c r="E9" s="92"/>
      <c r="F9" s="92"/>
      <c r="G9" s="44"/>
      <c r="H9" s="91"/>
      <c r="I9" s="46"/>
      <c r="J9" s="46"/>
      <c r="K9" s="46"/>
      <c r="L9" s="46"/>
      <c r="M9" s="46"/>
      <c r="N9" s="46"/>
      <c r="O9" s="46"/>
      <c r="P9" s="46"/>
      <c r="Q9" s="46"/>
      <c r="R9" s="46"/>
      <c r="S9" s="46"/>
      <c r="T9" s="46"/>
      <c r="U9" s="46"/>
      <c r="V9" s="46"/>
      <c r="W9" s="46"/>
      <c r="X9" s="46"/>
      <c r="Y9" s="46"/>
      <c r="Z9" s="46"/>
      <c r="AA9" s="46"/>
      <c r="AB9" s="46"/>
      <c r="AC9" s="46"/>
      <c r="AD9" s="46"/>
      <c r="AE9" s="46"/>
      <c r="AF9" s="46"/>
      <c r="AG9" s="46"/>
    </row>
    <row r="10">
      <c r="A10" s="40" t="s">
        <v>104</v>
      </c>
      <c r="B10" s="29" t="s">
        <v>105</v>
      </c>
      <c r="C10" s="86">
        <v>40878.0</v>
      </c>
      <c r="D10" s="29">
        <v>650.0</v>
      </c>
      <c r="E10" s="29"/>
      <c r="F10" s="29">
        <v>60.0</v>
      </c>
      <c r="G10" s="48">
        <f t="shared" ref="G10:G15" si="5">sum(D10:F10)</f>
        <v>710</v>
      </c>
      <c r="H10" s="73">
        <v>40000.0</v>
      </c>
      <c r="I10" s="29" t="s">
        <v>317</v>
      </c>
      <c r="J10" s="29" t="str">
        <f t="shared" ref="J10:J15" si="6">concatenate("q", "/", G10, " * $", H10)</f>
        <v>q/710 * $40000</v>
      </c>
      <c r="K10" s="74">
        <f t="shared" ref="K10:K15" si="7">H10*(2/3)</f>
        <v>26666.66667</v>
      </c>
      <c r="L10" s="29" t="s">
        <v>318</v>
      </c>
      <c r="M10" s="74">
        <f t="shared" ref="M10:M15" si="8">H10+(H10*0.1)</f>
        <v>44000</v>
      </c>
    </row>
    <row r="11">
      <c r="A11" s="40" t="s">
        <v>104</v>
      </c>
      <c r="B11" s="29" t="s">
        <v>105</v>
      </c>
      <c r="C11" s="76" t="s">
        <v>236</v>
      </c>
      <c r="D11" s="29">
        <v>925.0</v>
      </c>
      <c r="E11" s="29"/>
      <c r="F11" s="29">
        <v>180.0</v>
      </c>
      <c r="G11" s="48">
        <f t="shared" si="5"/>
        <v>1105</v>
      </c>
      <c r="H11" s="73">
        <v>50000.0</v>
      </c>
      <c r="I11" s="29" t="s">
        <v>317</v>
      </c>
      <c r="J11" s="29" t="str">
        <f t="shared" si="6"/>
        <v>q/1105 * $50000</v>
      </c>
      <c r="K11" s="74">
        <f t="shared" si="7"/>
        <v>33333.33333</v>
      </c>
      <c r="L11" s="29" t="s">
        <v>318</v>
      </c>
      <c r="M11" s="74">
        <f t="shared" si="8"/>
        <v>55000</v>
      </c>
    </row>
    <row r="12">
      <c r="A12" s="40" t="s">
        <v>104</v>
      </c>
      <c r="B12" s="29" t="s">
        <v>105</v>
      </c>
      <c r="C12" s="76" t="s">
        <v>237</v>
      </c>
      <c r="D12" s="29">
        <v>940.0</v>
      </c>
      <c r="E12" s="29"/>
      <c r="F12" s="29">
        <v>180.0</v>
      </c>
      <c r="G12" s="48">
        <f t="shared" si="5"/>
        <v>1120</v>
      </c>
      <c r="H12" s="73">
        <v>60000.0</v>
      </c>
      <c r="I12" s="29" t="s">
        <v>317</v>
      </c>
      <c r="J12" s="29" t="str">
        <f t="shared" si="6"/>
        <v>q/1120 * $60000</v>
      </c>
      <c r="K12" s="74">
        <f t="shared" si="7"/>
        <v>40000</v>
      </c>
      <c r="L12" s="29" t="s">
        <v>318</v>
      </c>
      <c r="M12" s="74">
        <f t="shared" si="8"/>
        <v>66000</v>
      </c>
    </row>
    <row r="13">
      <c r="A13" s="40" t="s">
        <v>104</v>
      </c>
      <c r="B13" s="29" t="s">
        <v>105</v>
      </c>
      <c r="C13" s="76" t="s">
        <v>238</v>
      </c>
      <c r="D13" s="29">
        <v>1000.0</v>
      </c>
      <c r="E13" s="29"/>
      <c r="F13" s="29">
        <v>180.0</v>
      </c>
      <c r="G13" s="48">
        <f t="shared" si="5"/>
        <v>1180</v>
      </c>
      <c r="H13" s="73">
        <v>60000.0</v>
      </c>
      <c r="I13" s="29" t="s">
        <v>317</v>
      </c>
      <c r="J13" s="29" t="str">
        <f t="shared" si="6"/>
        <v>q/1180 * $60000</v>
      </c>
      <c r="K13" s="74">
        <f t="shared" si="7"/>
        <v>40000</v>
      </c>
      <c r="L13" s="29" t="s">
        <v>318</v>
      </c>
      <c r="M13" s="74">
        <f t="shared" si="8"/>
        <v>66000</v>
      </c>
    </row>
    <row r="14">
      <c r="A14" s="40" t="s">
        <v>104</v>
      </c>
      <c r="B14" s="29" t="s">
        <v>105</v>
      </c>
      <c r="C14" s="76" t="s">
        <v>239</v>
      </c>
      <c r="D14" s="29">
        <v>1045.0</v>
      </c>
      <c r="E14" s="29"/>
      <c r="F14" s="29">
        <v>180.0</v>
      </c>
      <c r="G14" s="48">
        <f t="shared" si="5"/>
        <v>1225</v>
      </c>
      <c r="H14" s="73">
        <v>70000.0</v>
      </c>
      <c r="I14" s="29" t="s">
        <v>317</v>
      </c>
      <c r="J14" s="29" t="str">
        <f t="shared" si="6"/>
        <v>q/1225 * $70000</v>
      </c>
      <c r="K14" s="74">
        <f t="shared" si="7"/>
        <v>46666.66667</v>
      </c>
      <c r="L14" s="29" t="s">
        <v>318</v>
      </c>
      <c r="M14" s="74">
        <f t="shared" si="8"/>
        <v>77000</v>
      </c>
    </row>
    <row r="15">
      <c r="A15" s="40" t="s">
        <v>104</v>
      </c>
      <c r="B15" s="29" t="s">
        <v>105</v>
      </c>
      <c r="C15" s="76" t="s">
        <v>240</v>
      </c>
      <c r="D15" s="29">
        <v>1045.0</v>
      </c>
      <c r="E15" s="29"/>
      <c r="F15" s="29">
        <v>180.0</v>
      </c>
      <c r="G15" s="48">
        <f t="shared" si="5"/>
        <v>1225</v>
      </c>
      <c r="H15" s="73">
        <v>70000.0</v>
      </c>
      <c r="I15" s="29" t="s">
        <v>317</v>
      </c>
      <c r="J15" s="29" t="str">
        <f t="shared" si="6"/>
        <v>q/1225 * $70000</v>
      </c>
      <c r="K15" s="74">
        <f t="shared" si="7"/>
        <v>46666.66667</v>
      </c>
      <c r="L15" s="29" t="s">
        <v>318</v>
      </c>
      <c r="M15" s="74">
        <f t="shared" si="8"/>
        <v>77000</v>
      </c>
    </row>
    <row r="16">
      <c r="A16" s="44"/>
      <c r="B16" s="46"/>
      <c r="C16" s="77"/>
      <c r="D16" s="92"/>
      <c r="E16" s="92"/>
      <c r="F16" s="92"/>
      <c r="G16" s="44"/>
      <c r="H16" s="91"/>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row>
    <row r="17">
      <c r="A17" s="40" t="s">
        <v>108</v>
      </c>
      <c r="B17" s="29" t="s">
        <v>109</v>
      </c>
      <c r="C17" s="86">
        <v>40483.0</v>
      </c>
      <c r="D17" s="29">
        <v>3000.0</v>
      </c>
      <c r="E17" s="29"/>
      <c r="F17" s="29">
        <v>75.0</v>
      </c>
      <c r="G17" s="48">
        <f t="shared" ref="G17:G26" si="9">sum(D17:F17)</f>
        <v>3075</v>
      </c>
      <c r="H17" s="73">
        <v>100000.0</v>
      </c>
      <c r="I17" s="29" t="s">
        <v>319</v>
      </c>
      <c r="J17" s="29" t="str">
        <f t="shared" ref="J17:J26" si="10">concatenate("q", "/", G17, " * $", H17)</f>
        <v>q/3075 * $100000</v>
      </c>
      <c r="K17" s="74">
        <f>H17*0.5</f>
        <v>50000</v>
      </c>
      <c r="L17" s="29" t="s">
        <v>320</v>
      </c>
      <c r="M17" s="74">
        <f t="shared" ref="M17:M26" si="11">H17+(H17*0.1)</f>
        <v>110000</v>
      </c>
    </row>
    <row r="18">
      <c r="A18" s="40" t="s">
        <v>108</v>
      </c>
      <c r="B18" s="29" t="s">
        <v>109</v>
      </c>
      <c r="C18" s="86">
        <v>40878.0</v>
      </c>
      <c r="D18" s="29">
        <v>3000.0</v>
      </c>
      <c r="E18" s="29"/>
      <c r="F18" s="29">
        <v>75.0</v>
      </c>
      <c r="G18" s="48">
        <f t="shared" si="9"/>
        <v>3075</v>
      </c>
      <c r="H18" s="73">
        <v>100000.0</v>
      </c>
      <c r="I18" s="29" t="s">
        <v>319</v>
      </c>
      <c r="J18" s="29" t="str">
        <f t="shared" si="10"/>
        <v>q/3075 * $100000</v>
      </c>
      <c r="K18" s="74">
        <f t="shared" ref="K18:K26" si="12">H18*0.6</f>
        <v>60000</v>
      </c>
      <c r="L18" s="29" t="s">
        <v>320</v>
      </c>
      <c r="M18" s="74">
        <f t="shared" si="11"/>
        <v>110000</v>
      </c>
    </row>
    <row r="19">
      <c r="A19" s="40" t="s">
        <v>108</v>
      </c>
      <c r="B19" s="29" t="s">
        <v>109</v>
      </c>
      <c r="C19" s="76" t="s">
        <v>236</v>
      </c>
      <c r="D19" s="29">
        <v>3000.0</v>
      </c>
      <c r="E19" s="29"/>
      <c r="F19" s="29">
        <v>75.0</v>
      </c>
      <c r="G19" s="48">
        <f t="shared" si="9"/>
        <v>3075</v>
      </c>
      <c r="H19" s="73">
        <v>125000.0</v>
      </c>
      <c r="I19" s="29" t="s">
        <v>319</v>
      </c>
      <c r="J19" s="29" t="str">
        <f t="shared" si="10"/>
        <v>q/3075 * $125000</v>
      </c>
      <c r="K19" s="74">
        <f t="shared" si="12"/>
        <v>75000</v>
      </c>
      <c r="L19" s="29" t="s">
        <v>320</v>
      </c>
      <c r="M19" s="74">
        <f t="shared" si="11"/>
        <v>137500</v>
      </c>
    </row>
    <row r="20">
      <c r="A20" s="40" t="s">
        <v>108</v>
      </c>
      <c r="B20" s="29" t="s">
        <v>109</v>
      </c>
      <c r="C20" s="76" t="s">
        <v>237</v>
      </c>
      <c r="D20" s="29">
        <v>3000.0</v>
      </c>
      <c r="E20" s="29"/>
      <c r="F20" s="29">
        <v>75.0</v>
      </c>
      <c r="G20" s="48">
        <f t="shared" si="9"/>
        <v>3075</v>
      </c>
      <c r="H20" s="73">
        <v>200000.0</v>
      </c>
      <c r="I20" s="29" t="s">
        <v>319</v>
      </c>
      <c r="J20" s="29" t="str">
        <f t="shared" si="10"/>
        <v>q/3075 * $200000</v>
      </c>
      <c r="K20" s="74">
        <f t="shared" si="12"/>
        <v>120000</v>
      </c>
      <c r="L20" s="29" t="s">
        <v>320</v>
      </c>
      <c r="M20" s="74">
        <f t="shared" si="11"/>
        <v>220000</v>
      </c>
    </row>
    <row r="21">
      <c r="A21" s="40" t="s">
        <v>108</v>
      </c>
      <c r="B21" s="29" t="s">
        <v>109</v>
      </c>
      <c r="C21" s="76" t="s">
        <v>238</v>
      </c>
      <c r="D21" s="29">
        <v>3000.0</v>
      </c>
      <c r="E21" s="29"/>
      <c r="F21" s="29">
        <v>75.0</v>
      </c>
      <c r="G21" s="48">
        <f t="shared" si="9"/>
        <v>3075</v>
      </c>
      <c r="H21" s="73">
        <v>225000.0</v>
      </c>
      <c r="I21" s="29" t="s">
        <v>319</v>
      </c>
      <c r="J21" s="29" t="str">
        <f t="shared" si="10"/>
        <v>q/3075 * $225000</v>
      </c>
      <c r="K21" s="74">
        <f t="shared" si="12"/>
        <v>135000</v>
      </c>
      <c r="L21" s="29" t="s">
        <v>320</v>
      </c>
      <c r="M21" s="74">
        <f t="shared" si="11"/>
        <v>247500</v>
      </c>
    </row>
    <row r="22">
      <c r="A22" s="40" t="s">
        <v>108</v>
      </c>
      <c r="B22" s="29" t="s">
        <v>109</v>
      </c>
      <c r="C22" s="76" t="s">
        <v>239</v>
      </c>
      <c r="D22" s="29">
        <v>3000.0</v>
      </c>
      <c r="E22" s="29"/>
      <c r="F22" s="29">
        <v>75.0</v>
      </c>
      <c r="G22" s="48">
        <f t="shared" si="9"/>
        <v>3075</v>
      </c>
      <c r="H22" s="73">
        <v>225000.0</v>
      </c>
      <c r="I22" s="29" t="s">
        <v>319</v>
      </c>
      <c r="J22" s="29" t="str">
        <f t="shared" si="10"/>
        <v>q/3075 * $225000</v>
      </c>
      <c r="K22" s="74">
        <f t="shared" si="12"/>
        <v>135000</v>
      </c>
      <c r="L22" s="29" t="s">
        <v>320</v>
      </c>
      <c r="M22" s="74">
        <f t="shared" si="11"/>
        <v>247500</v>
      </c>
    </row>
    <row r="23">
      <c r="A23" s="40" t="s">
        <v>108</v>
      </c>
      <c r="B23" s="29" t="s">
        <v>109</v>
      </c>
      <c r="C23" s="76" t="s">
        <v>240</v>
      </c>
      <c r="D23" s="29">
        <v>3000.0</v>
      </c>
      <c r="E23" s="29"/>
      <c r="F23" s="29">
        <v>75.0</v>
      </c>
      <c r="G23" s="48">
        <f t="shared" si="9"/>
        <v>3075</v>
      </c>
      <c r="H23" s="73">
        <v>225000.0</v>
      </c>
      <c r="I23" s="29" t="s">
        <v>319</v>
      </c>
      <c r="J23" s="29" t="str">
        <f t="shared" si="10"/>
        <v>q/3075 * $225000</v>
      </c>
      <c r="K23" s="74">
        <f t="shared" si="12"/>
        <v>135000</v>
      </c>
      <c r="L23" s="29" t="s">
        <v>320</v>
      </c>
      <c r="M23" s="74">
        <f t="shared" si="11"/>
        <v>247500</v>
      </c>
    </row>
    <row r="24">
      <c r="A24" s="40" t="s">
        <v>108</v>
      </c>
      <c r="B24" s="29" t="s">
        <v>109</v>
      </c>
      <c r="C24" s="76" t="s">
        <v>241</v>
      </c>
      <c r="D24" s="29">
        <v>3000.0</v>
      </c>
      <c r="E24" s="29"/>
      <c r="F24" s="29">
        <v>75.0</v>
      </c>
      <c r="G24" s="48">
        <f t="shared" si="9"/>
        <v>3075</v>
      </c>
      <c r="H24" s="73">
        <v>225000.0</v>
      </c>
      <c r="I24" s="29" t="s">
        <v>319</v>
      </c>
      <c r="J24" s="29" t="str">
        <f t="shared" si="10"/>
        <v>q/3075 * $225000</v>
      </c>
      <c r="K24" s="74">
        <f t="shared" si="12"/>
        <v>135000</v>
      </c>
      <c r="L24" s="29" t="s">
        <v>320</v>
      </c>
      <c r="M24" s="74">
        <f t="shared" si="11"/>
        <v>247500</v>
      </c>
    </row>
    <row r="25">
      <c r="A25" s="40" t="s">
        <v>108</v>
      </c>
      <c r="B25" s="29" t="s">
        <v>109</v>
      </c>
      <c r="C25" s="76" t="s">
        <v>242</v>
      </c>
      <c r="D25" s="29">
        <v>3000.0</v>
      </c>
      <c r="E25" s="29"/>
      <c r="F25" s="29">
        <v>75.0</v>
      </c>
      <c r="G25" s="48">
        <f t="shared" si="9"/>
        <v>3075</v>
      </c>
      <c r="H25" s="73">
        <v>225000.0</v>
      </c>
      <c r="I25" s="29" t="s">
        <v>319</v>
      </c>
      <c r="J25" s="29" t="str">
        <f t="shared" si="10"/>
        <v>q/3075 * $225000</v>
      </c>
      <c r="K25" s="74">
        <f t="shared" si="12"/>
        <v>135000</v>
      </c>
      <c r="L25" s="29" t="s">
        <v>320</v>
      </c>
      <c r="M25" s="74">
        <f t="shared" si="11"/>
        <v>247500</v>
      </c>
    </row>
    <row r="26">
      <c r="A26" s="40" t="s">
        <v>108</v>
      </c>
      <c r="B26" s="29" t="s">
        <v>109</v>
      </c>
      <c r="C26" s="76" t="s">
        <v>243</v>
      </c>
      <c r="D26" s="29">
        <v>3000.0</v>
      </c>
      <c r="E26" s="29"/>
      <c r="F26" s="29">
        <v>75.0</v>
      </c>
      <c r="G26" s="48">
        <f t="shared" si="9"/>
        <v>3075</v>
      </c>
      <c r="H26" s="73">
        <v>225000.0</v>
      </c>
      <c r="I26" s="29" t="s">
        <v>319</v>
      </c>
      <c r="J26" s="29" t="str">
        <f t="shared" si="10"/>
        <v>q/3075 * $225000</v>
      </c>
      <c r="K26" s="74">
        <f t="shared" si="12"/>
        <v>135000</v>
      </c>
      <c r="L26" s="29" t="s">
        <v>320</v>
      </c>
      <c r="M26" s="74">
        <f t="shared" si="11"/>
        <v>247500</v>
      </c>
    </row>
    <row r="27">
      <c r="A27" s="44"/>
      <c r="B27" s="46"/>
      <c r="C27" s="77"/>
      <c r="D27" s="92"/>
      <c r="E27" s="92"/>
      <c r="F27" s="92"/>
      <c r="G27" s="44"/>
      <c r="H27" s="91"/>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row>
    <row r="28">
      <c r="A28" s="98" t="s">
        <v>115</v>
      </c>
      <c r="B28" s="11" t="s">
        <v>116</v>
      </c>
      <c r="C28" s="100">
        <v>2016.0</v>
      </c>
      <c r="D28" s="29">
        <v>200.0</v>
      </c>
      <c r="E28" s="29"/>
      <c r="F28" s="29">
        <v>10.0</v>
      </c>
      <c r="G28" s="40" t="s">
        <v>321</v>
      </c>
      <c r="H28" s="73">
        <v>5000.0</v>
      </c>
      <c r="I28" s="162" t="s">
        <v>322</v>
      </c>
      <c r="J28" s="29" t="str">
        <f t="shared" ref="J28:J32" si="13">concatenate("q", "/", G28, " * $", H28)</f>
        <v>q/210 * $5000</v>
      </c>
      <c r="K28" s="74">
        <f t="shared" ref="K28:K32" si="14">5000*(2/3)</f>
        <v>3333.333333</v>
      </c>
      <c r="L28" s="29" t="s">
        <v>323</v>
      </c>
      <c r="M28" s="74">
        <f t="shared" ref="M28:M32" si="15">5000+(5000*0.2)</f>
        <v>6000</v>
      </c>
    </row>
    <row r="29">
      <c r="A29" s="98" t="s">
        <v>115</v>
      </c>
      <c r="B29" s="11" t="s">
        <v>116</v>
      </c>
      <c r="C29" s="103">
        <v>2017.0</v>
      </c>
      <c r="D29" s="29">
        <v>200.0</v>
      </c>
      <c r="E29" s="29"/>
      <c r="F29" s="29">
        <v>10.0</v>
      </c>
      <c r="G29" s="40" t="s">
        <v>321</v>
      </c>
      <c r="H29" s="73">
        <v>5000.0</v>
      </c>
      <c r="I29" s="29" t="s">
        <v>324</v>
      </c>
      <c r="J29" s="29" t="str">
        <f t="shared" si="13"/>
        <v>q/210 * $5000</v>
      </c>
      <c r="K29" s="74">
        <f t="shared" si="14"/>
        <v>3333.333333</v>
      </c>
      <c r="L29" s="29" t="s">
        <v>323</v>
      </c>
      <c r="M29" s="74">
        <f t="shared" si="15"/>
        <v>6000</v>
      </c>
    </row>
    <row r="30">
      <c r="A30" s="98" t="s">
        <v>115</v>
      </c>
      <c r="B30" s="11" t="s">
        <v>116</v>
      </c>
      <c r="C30" s="100" t="s">
        <v>255</v>
      </c>
      <c r="D30" s="29">
        <v>200.0</v>
      </c>
      <c r="E30" s="29"/>
      <c r="F30" s="29">
        <v>10.0</v>
      </c>
      <c r="G30" s="40" t="s">
        <v>321</v>
      </c>
      <c r="H30" s="73">
        <v>5000.0</v>
      </c>
      <c r="I30" s="29" t="s">
        <v>324</v>
      </c>
      <c r="J30" s="29" t="str">
        <f t="shared" si="13"/>
        <v>q/210 * $5000</v>
      </c>
      <c r="K30" s="74">
        <f t="shared" si="14"/>
        <v>3333.333333</v>
      </c>
      <c r="L30" s="29" t="s">
        <v>323</v>
      </c>
      <c r="M30" s="74">
        <f t="shared" si="15"/>
        <v>6000</v>
      </c>
    </row>
    <row r="31">
      <c r="A31" s="98" t="s">
        <v>115</v>
      </c>
      <c r="B31" s="11" t="s">
        <v>116</v>
      </c>
      <c r="C31" s="100" t="s">
        <v>256</v>
      </c>
      <c r="D31" s="29">
        <v>200.0</v>
      </c>
      <c r="E31" s="29"/>
      <c r="F31" s="29">
        <v>10.0</v>
      </c>
      <c r="G31" s="40" t="s">
        <v>321</v>
      </c>
      <c r="H31" s="73">
        <v>5000.0</v>
      </c>
      <c r="I31" s="29" t="s">
        <v>324</v>
      </c>
      <c r="J31" s="29" t="str">
        <f t="shared" si="13"/>
        <v>q/210 * $5000</v>
      </c>
      <c r="K31" s="74">
        <f t="shared" si="14"/>
        <v>3333.333333</v>
      </c>
      <c r="L31" s="29" t="s">
        <v>323</v>
      </c>
      <c r="M31" s="74">
        <f t="shared" si="15"/>
        <v>6000</v>
      </c>
    </row>
    <row r="32">
      <c r="A32" s="98" t="s">
        <v>115</v>
      </c>
      <c r="B32" s="11" t="s">
        <v>116</v>
      </c>
      <c r="C32" s="100" t="s">
        <v>257</v>
      </c>
      <c r="D32" s="29">
        <v>200.0</v>
      </c>
      <c r="E32" s="29"/>
      <c r="F32" s="29">
        <v>10.0</v>
      </c>
      <c r="G32" s="40" t="s">
        <v>321</v>
      </c>
      <c r="H32" s="73">
        <v>5000.0</v>
      </c>
      <c r="I32" s="29" t="s">
        <v>324</v>
      </c>
      <c r="J32" s="29" t="str">
        <f t="shared" si="13"/>
        <v>q/210 * $5000</v>
      </c>
      <c r="K32" s="74">
        <f t="shared" si="14"/>
        <v>3333.333333</v>
      </c>
      <c r="L32" s="29" t="s">
        <v>323</v>
      </c>
      <c r="M32" s="74">
        <f t="shared" si="15"/>
        <v>6000</v>
      </c>
    </row>
    <row r="33">
      <c r="A33" s="44"/>
      <c r="B33" s="46"/>
      <c r="C33" s="77"/>
      <c r="D33" s="92"/>
      <c r="E33" s="92"/>
      <c r="F33" s="92"/>
      <c r="G33" s="44"/>
      <c r="H33" s="91"/>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row>
    <row r="34">
      <c r="A34" s="37" t="s">
        <v>118</v>
      </c>
      <c r="B34" s="35" t="s">
        <v>119</v>
      </c>
      <c r="C34" s="100">
        <v>2016.0</v>
      </c>
      <c r="D34" s="29">
        <v>210.0</v>
      </c>
      <c r="E34" s="29"/>
      <c r="F34" s="29">
        <v>7.0</v>
      </c>
      <c r="G34" s="48">
        <f t="shared" ref="G34:G38" si="16">D34+F34</f>
        <v>217</v>
      </c>
      <c r="H34" s="73">
        <v>5000.0</v>
      </c>
      <c r="I34" s="29" t="s">
        <v>325</v>
      </c>
      <c r="J34" s="29" t="str">
        <f t="shared" ref="J34:J38" si="17">concatenate("q", "/", G34, " * $", H34)</f>
        <v>q/217 * $5000</v>
      </c>
      <c r="K34" s="74">
        <f t="shared" ref="K34:K38" si="18">5000*(2/3)</f>
        <v>3333.333333</v>
      </c>
      <c r="L34" s="29" t="s">
        <v>316</v>
      </c>
      <c r="M34" s="74">
        <f t="shared" ref="M34:M38" si="19">5000+(5000*0.2)</f>
        <v>6000</v>
      </c>
    </row>
    <row r="35">
      <c r="A35" s="37" t="s">
        <v>118</v>
      </c>
      <c r="B35" s="35" t="s">
        <v>119</v>
      </c>
      <c r="C35" s="103">
        <v>2017.0</v>
      </c>
      <c r="D35" s="29">
        <v>185.0</v>
      </c>
      <c r="E35" s="29"/>
      <c r="F35" s="29">
        <v>7.0</v>
      </c>
      <c r="G35" s="48">
        <f t="shared" si="16"/>
        <v>192</v>
      </c>
      <c r="H35" s="73">
        <v>5000.0</v>
      </c>
      <c r="I35" s="29" t="s">
        <v>325</v>
      </c>
      <c r="J35" s="29" t="str">
        <f t="shared" si="17"/>
        <v>q/192 * $5000</v>
      </c>
      <c r="K35" s="74">
        <f t="shared" si="18"/>
        <v>3333.333333</v>
      </c>
      <c r="L35" s="29" t="s">
        <v>316</v>
      </c>
      <c r="M35" s="74">
        <f t="shared" si="19"/>
        <v>6000</v>
      </c>
    </row>
    <row r="36">
      <c r="A36" s="37" t="s">
        <v>118</v>
      </c>
      <c r="B36" s="35" t="s">
        <v>119</v>
      </c>
      <c r="C36" s="100" t="s">
        <v>255</v>
      </c>
      <c r="D36" s="29">
        <v>185.0</v>
      </c>
      <c r="E36" s="29"/>
      <c r="F36" s="29">
        <v>7.0</v>
      </c>
      <c r="G36" s="48">
        <f t="shared" si="16"/>
        <v>192</v>
      </c>
      <c r="H36" s="73">
        <v>5000.0</v>
      </c>
      <c r="I36" s="29" t="s">
        <v>325</v>
      </c>
      <c r="J36" s="29" t="str">
        <f t="shared" si="17"/>
        <v>q/192 * $5000</v>
      </c>
      <c r="K36" s="74">
        <f t="shared" si="18"/>
        <v>3333.333333</v>
      </c>
      <c r="L36" s="29" t="s">
        <v>316</v>
      </c>
      <c r="M36" s="74">
        <f t="shared" si="19"/>
        <v>6000</v>
      </c>
    </row>
    <row r="37">
      <c r="A37" s="37" t="s">
        <v>118</v>
      </c>
      <c r="B37" s="35" t="s">
        <v>119</v>
      </c>
      <c r="C37" s="100" t="s">
        <v>256</v>
      </c>
      <c r="D37" s="29">
        <v>185.0</v>
      </c>
      <c r="E37" s="29"/>
      <c r="F37" s="29">
        <v>7.0</v>
      </c>
      <c r="G37" s="48">
        <f t="shared" si="16"/>
        <v>192</v>
      </c>
      <c r="H37" s="73">
        <v>5000.0</v>
      </c>
      <c r="I37" s="29" t="s">
        <v>325</v>
      </c>
      <c r="J37" s="29" t="str">
        <f t="shared" si="17"/>
        <v>q/192 * $5000</v>
      </c>
      <c r="K37" s="74">
        <f t="shared" si="18"/>
        <v>3333.333333</v>
      </c>
      <c r="L37" s="29" t="s">
        <v>316</v>
      </c>
      <c r="M37" s="74">
        <f t="shared" si="19"/>
        <v>6000</v>
      </c>
    </row>
    <row r="38">
      <c r="A38" s="37" t="s">
        <v>118</v>
      </c>
      <c r="B38" s="35" t="s">
        <v>119</v>
      </c>
      <c r="C38" s="100" t="s">
        <v>257</v>
      </c>
      <c r="D38" s="29">
        <v>185.0</v>
      </c>
      <c r="E38" s="29"/>
      <c r="F38" s="29">
        <v>7.0</v>
      </c>
      <c r="G38" s="48">
        <f t="shared" si="16"/>
        <v>192</v>
      </c>
      <c r="H38" s="73">
        <v>5000.0</v>
      </c>
      <c r="I38" s="29" t="s">
        <v>325</v>
      </c>
      <c r="J38" s="29" t="str">
        <f t="shared" si="17"/>
        <v>q/192 * $5000</v>
      </c>
      <c r="K38" s="74">
        <f t="shared" si="18"/>
        <v>3333.333333</v>
      </c>
      <c r="L38" s="29" t="s">
        <v>316</v>
      </c>
      <c r="M38" s="74">
        <f t="shared" si="19"/>
        <v>6000</v>
      </c>
    </row>
    <row r="39">
      <c r="A39" s="44"/>
      <c r="B39" s="46"/>
      <c r="C39" s="77"/>
      <c r="D39" s="92"/>
      <c r="E39" s="92"/>
      <c r="F39" s="92"/>
      <c r="G39" s="44"/>
      <c r="H39" s="91"/>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row>
    <row r="40">
      <c r="A40" s="98" t="s">
        <v>121</v>
      </c>
      <c r="B40" s="11" t="s">
        <v>122</v>
      </c>
      <c r="C40" s="99">
        <v>40483.0</v>
      </c>
      <c r="D40" s="143">
        <v>2000.0</v>
      </c>
      <c r="E40" s="29"/>
      <c r="F40" s="29">
        <v>50.0</v>
      </c>
      <c r="G40" s="48">
        <f t="shared" ref="G40:G52" si="20">D40+F40</f>
        <v>2050</v>
      </c>
      <c r="H40" s="73">
        <v>100000.0</v>
      </c>
      <c r="I40" s="29" t="s">
        <v>326</v>
      </c>
      <c r="J40" s="29" t="str">
        <f t="shared" ref="J40:J52" si="21">concatenate("q", "/", G40, " * $", H40)</f>
        <v>q/2050 * $100000</v>
      </c>
      <c r="K40" s="74">
        <f t="shared" ref="K40:K52" si="22">0.5*H40</f>
        <v>50000</v>
      </c>
      <c r="L40" s="29" t="s">
        <v>327</v>
      </c>
      <c r="M40" s="73">
        <v>0.0</v>
      </c>
    </row>
    <row r="41">
      <c r="A41" s="98" t="s">
        <v>121</v>
      </c>
      <c r="B41" s="11" t="s">
        <v>122</v>
      </c>
      <c r="C41" s="99">
        <v>40878.0</v>
      </c>
      <c r="D41" s="143">
        <v>2500.0</v>
      </c>
      <c r="E41" s="29"/>
      <c r="F41" s="29">
        <v>75.0</v>
      </c>
      <c r="G41" s="48">
        <f t="shared" si="20"/>
        <v>2575</v>
      </c>
      <c r="H41" s="73">
        <v>150000.0</v>
      </c>
      <c r="I41" s="29" t="s">
        <v>326</v>
      </c>
      <c r="J41" s="29" t="str">
        <f t="shared" si="21"/>
        <v>q/2575 * $150000</v>
      </c>
      <c r="K41" s="74">
        <f t="shared" si="22"/>
        <v>75000</v>
      </c>
      <c r="L41" s="29" t="s">
        <v>328</v>
      </c>
      <c r="M41" s="74">
        <f t="shared" ref="M41:M52" si="23">H41*(1.2)</f>
        <v>180000</v>
      </c>
    </row>
    <row r="42">
      <c r="A42" s="98" t="s">
        <v>121</v>
      </c>
      <c r="B42" s="11" t="s">
        <v>122</v>
      </c>
      <c r="C42" s="100" t="s">
        <v>236</v>
      </c>
      <c r="D42" s="143">
        <v>2500.0</v>
      </c>
      <c r="E42" s="29"/>
      <c r="F42" s="29">
        <v>75.0</v>
      </c>
      <c r="G42" s="48">
        <f t="shared" si="20"/>
        <v>2575</v>
      </c>
      <c r="H42" s="73">
        <v>175000.0</v>
      </c>
      <c r="I42" s="29" t="s">
        <v>326</v>
      </c>
      <c r="J42" s="29" t="str">
        <f t="shared" si="21"/>
        <v>q/2575 * $175000</v>
      </c>
      <c r="K42" s="74">
        <f t="shared" si="22"/>
        <v>87500</v>
      </c>
      <c r="L42" s="29" t="s">
        <v>328</v>
      </c>
      <c r="M42" s="74">
        <f t="shared" si="23"/>
        <v>210000</v>
      </c>
    </row>
    <row r="43">
      <c r="A43" s="98" t="s">
        <v>121</v>
      </c>
      <c r="B43" s="11" t="s">
        <v>122</v>
      </c>
      <c r="C43" s="100" t="s">
        <v>237</v>
      </c>
      <c r="D43" s="143">
        <v>2600.0</v>
      </c>
      <c r="E43" s="29"/>
      <c r="F43" s="29">
        <v>75.0</v>
      </c>
      <c r="G43" s="48">
        <f t="shared" si="20"/>
        <v>2675</v>
      </c>
      <c r="H43" s="73">
        <v>200000.0</v>
      </c>
      <c r="I43" s="29" t="s">
        <v>326</v>
      </c>
      <c r="J43" s="29" t="str">
        <f t="shared" si="21"/>
        <v>q/2675 * $200000</v>
      </c>
      <c r="K43" s="74">
        <f t="shared" si="22"/>
        <v>100000</v>
      </c>
      <c r="L43" s="29" t="s">
        <v>328</v>
      </c>
      <c r="M43" s="74">
        <f t="shared" si="23"/>
        <v>240000</v>
      </c>
    </row>
    <row r="44">
      <c r="A44" s="98" t="s">
        <v>121</v>
      </c>
      <c r="B44" s="11" t="s">
        <v>122</v>
      </c>
      <c r="C44" s="100" t="s">
        <v>238</v>
      </c>
      <c r="D44" s="143">
        <v>2600.0</v>
      </c>
      <c r="E44" s="29"/>
      <c r="F44" s="29">
        <v>75.0</v>
      </c>
      <c r="G44" s="48">
        <f t="shared" si="20"/>
        <v>2675</v>
      </c>
      <c r="H44" s="73">
        <v>250000.0</v>
      </c>
      <c r="I44" s="29" t="s">
        <v>326</v>
      </c>
      <c r="J44" s="29" t="str">
        <f t="shared" si="21"/>
        <v>q/2675 * $250000</v>
      </c>
      <c r="K44" s="74">
        <f t="shared" si="22"/>
        <v>125000</v>
      </c>
      <c r="L44" s="29" t="s">
        <v>328</v>
      </c>
      <c r="M44" s="74">
        <f t="shared" si="23"/>
        <v>300000</v>
      </c>
    </row>
    <row r="45">
      <c r="A45" s="98" t="s">
        <v>121</v>
      </c>
      <c r="B45" s="11" t="s">
        <v>122</v>
      </c>
      <c r="C45" s="100" t="s">
        <v>239</v>
      </c>
      <c r="D45" s="143">
        <v>2300.0</v>
      </c>
      <c r="E45" s="29"/>
      <c r="F45" s="29">
        <v>50.0</v>
      </c>
      <c r="G45" s="48">
        <f t="shared" si="20"/>
        <v>2350</v>
      </c>
      <c r="H45" s="73">
        <v>250000.0</v>
      </c>
      <c r="I45" s="29" t="s">
        <v>326</v>
      </c>
      <c r="J45" s="29" t="str">
        <f t="shared" si="21"/>
        <v>q/2350 * $250000</v>
      </c>
      <c r="K45" s="74">
        <f t="shared" si="22"/>
        <v>125000</v>
      </c>
      <c r="L45" s="29" t="s">
        <v>328</v>
      </c>
      <c r="M45" s="74">
        <f t="shared" si="23"/>
        <v>300000</v>
      </c>
    </row>
    <row r="46">
      <c r="A46" s="98" t="s">
        <v>121</v>
      </c>
      <c r="B46" s="11" t="s">
        <v>122</v>
      </c>
      <c r="C46" s="100" t="s">
        <v>240</v>
      </c>
      <c r="D46" s="143">
        <v>2300.0</v>
      </c>
      <c r="E46" s="29"/>
      <c r="F46" s="29">
        <v>50.0</v>
      </c>
      <c r="G46" s="48">
        <f t="shared" si="20"/>
        <v>2350</v>
      </c>
      <c r="H46" s="73">
        <v>250000.0</v>
      </c>
      <c r="I46" s="29" t="s">
        <v>326</v>
      </c>
      <c r="J46" s="29" t="str">
        <f t="shared" si="21"/>
        <v>q/2350 * $250000</v>
      </c>
      <c r="K46" s="74">
        <f t="shared" si="22"/>
        <v>125000</v>
      </c>
      <c r="L46" s="29" t="s">
        <v>328</v>
      </c>
      <c r="M46" s="74">
        <f t="shared" si="23"/>
        <v>300000</v>
      </c>
    </row>
    <row r="47">
      <c r="A47" s="98" t="s">
        <v>121</v>
      </c>
      <c r="B47" s="11" t="s">
        <v>122</v>
      </c>
      <c r="C47" s="100" t="s">
        <v>241</v>
      </c>
      <c r="D47" s="143">
        <v>2300.0</v>
      </c>
      <c r="E47" s="29"/>
      <c r="F47" s="29">
        <v>50.0</v>
      </c>
      <c r="G47" s="48">
        <f t="shared" si="20"/>
        <v>2350</v>
      </c>
      <c r="H47" s="73">
        <v>250000.0</v>
      </c>
      <c r="I47" s="29" t="s">
        <v>326</v>
      </c>
      <c r="J47" s="29" t="str">
        <f t="shared" si="21"/>
        <v>q/2350 * $250000</v>
      </c>
      <c r="K47" s="74">
        <f t="shared" si="22"/>
        <v>125000</v>
      </c>
      <c r="L47" s="29" t="s">
        <v>328</v>
      </c>
      <c r="M47" s="74">
        <f t="shared" si="23"/>
        <v>300000</v>
      </c>
    </row>
    <row r="48">
      <c r="A48" s="98" t="s">
        <v>121</v>
      </c>
      <c r="B48" s="11" t="s">
        <v>122</v>
      </c>
      <c r="C48" s="100" t="s">
        <v>242</v>
      </c>
      <c r="D48" s="143">
        <v>2300.0</v>
      </c>
      <c r="E48" s="29"/>
      <c r="F48" s="29">
        <v>50.0</v>
      </c>
      <c r="G48" s="48">
        <f t="shared" si="20"/>
        <v>2350</v>
      </c>
      <c r="H48" s="73">
        <v>250000.0</v>
      </c>
      <c r="I48" s="29" t="s">
        <v>326</v>
      </c>
      <c r="J48" s="29" t="str">
        <f t="shared" si="21"/>
        <v>q/2350 * $250000</v>
      </c>
      <c r="K48" s="74">
        <f t="shared" si="22"/>
        <v>125000</v>
      </c>
      <c r="L48" s="29" t="s">
        <v>328</v>
      </c>
      <c r="M48" s="74">
        <f t="shared" si="23"/>
        <v>300000</v>
      </c>
    </row>
    <row r="49">
      <c r="A49" s="98" t="s">
        <v>121</v>
      </c>
      <c r="B49" s="11" t="s">
        <v>122</v>
      </c>
      <c r="C49" s="100" t="s">
        <v>243</v>
      </c>
      <c r="D49" s="143">
        <v>2300.0</v>
      </c>
      <c r="E49" s="29"/>
      <c r="F49" s="29">
        <v>50.0</v>
      </c>
      <c r="G49" s="48">
        <f t="shared" si="20"/>
        <v>2350</v>
      </c>
      <c r="H49" s="73">
        <v>250000.0</v>
      </c>
      <c r="I49" s="29" t="s">
        <v>326</v>
      </c>
      <c r="J49" s="29" t="str">
        <f t="shared" si="21"/>
        <v>q/2350 * $250000</v>
      </c>
      <c r="K49" s="74">
        <f t="shared" si="22"/>
        <v>125000</v>
      </c>
      <c r="L49" s="29" t="s">
        <v>328</v>
      </c>
      <c r="M49" s="74">
        <f t="shared" si="23"/>
        <v>300000</v>
      </c>
    </row>
    <row r="50">
      <c r="A50" s="98" t="s">
        <v>121</v>
      </c>
      <c r="B50" s="11" t="s">
        <v>122</v>
      </c>
      <c r="C50" s="100" t="s">
        <v>244</v>
      </c>
      <c r="D50" s="143">
        <v>2300.0</v>
      </c>
      <c r="E50" s="29"/>
      <c r="F50" s="29">
        <v>50.0</v>
      </c>
      <c r="G50" s="48">
        <f t="shared" si="20"/>
        <v>2350</v>
      </c>
      <c r="H50" s="73">
        <v>250000.0</v>
      </c>
      <c r="I50" s="29" t="s">
        <v>326</v>
      </c>
      <c r="J50" s="29" t="str">
        <f t="shared" si="21"/>
        <v>q/2350 * $250000</v>
      </c>
      <c r="K50" s="74">
        <f t="shared" si="22"/>
        <v>125000</v>
      </c>
      <c r="L50" s="29" t="s">
        <v>328</v>
      </c>
      <c r="M50" s="74">
        <f t="shared" si="23"/>
        <v>300000</v>
      </c>
    </row>
    <row r="51">
      <c r="A51" s="98" t="s">
        <v>121</v>
      </c>
      <c r="B51" s="11" t="s">
        <v>122</v>
      </c>
      <c r="C51" s="100" t="s">
        <v>247</v>
      </c>
      <c r="D51" s="143">
        <v>2300.0</v>
      </c>
      <c r="E51" s="29"/>
      <c r="F51" s="29">
        <v>50.0</v>
      </c>
      <c r="G51" s="48">
        <f t="shared" si="20"/>
        <v>2350</v>
      </c>
      <c r="H51" s="73">
        <v>250000.0</v>
      </c>
      <c r="I51" s="29" t="s">
        <v>326</v>
      </c>
      <c r="J51" s="29" t="str">
        <f t="shared" si="21"/>
        <v>q/2350 * $250000</v>
      </c>
      <c r="K51" s="74">
        <f t="shared" si="22"/>
        <v>125000</v>
      </c>
      <c r="L51" s="29" t="s">
        <v>328</v>
      </c>
      <c r="M51" s="74">
        <f t="shared" si="23"/>
        <v>300000</v>
      </c>
    </row>
    <row r="52">
      <c r="A52" s="98" t="s">
        <v>121</v>
      </c>
      <c r="B52" s="11" t="s">
        <v>122</v>
      </c>
      <c r="C52" s="100" t="s">
        <v>248</v>
      </c>
      <c r="D52" s="143">
        <v>2300.0</v>
      </c>
      <c r="E52" s="29"/>
      <c r="F52" s="29">
        <v>50.0</v>
      </c>
      <c r="G52" s="48">
        <f t="shared" si="20"/>
        <v>2350</v>
      </c>
      <c r="H52" s="73">
        <v>250000.0</v>
      </c>
      <c r="I52" s="29" t="s">
        <v>326</v>
      </c>
      <c r="J52" s="29" t="str">
        <f t="shared" si="21"/>
        <v>q/2350 * $250000</v>
      </c>
      <c r="K52" s="74">
        <f t="shared" si="22"/>
        <v>125000</v>
      </c>
      <c r="L52" s="29" t="s">
        <v>328</v>
      </c>
      <c r="M52" s="74">
        <f t="shared" si="23"/>
        <v>300000</v>
      </c>
    </row>
    <row r="53">
      <c r="A53" s="44"/>
      <c r="B53" s="46"/>
      <c r="C53" s="77"/>
      <c r="D53" s="92"/>
      <c r="E53" s="92"/>
      <c r="F53" s="92"/>
      <c r="G53" s="44"/>
      <c r="H53" s="91"/>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row>
    <row r="54">
      <c r="A54" s="5" t="s">
        <v>125</v>
      </c>
      <c r="B54" s="27" t="s">
        <v>126</v>
      </c>
      <c r="C54" s="29" t="s">
        <v>239</v>
      </c>
      <c r="D54" s="29">
        <v>4350.0</v>
      </c>
      <c r="E54" s="29"/>
      <c r="F54" s="29">
        <v>165.0</v>
      </c>
      <c r="G54" s="48">
        <f t="shared" ref="G54:G65" si="24">D54+F54</f>
        <v>4515</v>
      </c>
      <c r="H54" s="73">
        <v>475000.0</v>
      </c>
      <c r="I54" s="29" t="s">
        <v>329</v>
      </c>
      <c r="J54" s="29" t="str">
        <f t="shared" ref="J54:J65" si="25">concatenate("q", "/", G54, " * $", H54)</f>
        <v>q/4515 * $475000</v>
      </c>
      <c r="K54" s="74">
        <f t="shared" ref="K54:K65" si="26">H54*0.75</f>
        <v>356250</v>
      </c>
      <c r="L54" s="29" t="s">
        <v>330</v>
      </c>
      <c r="M54" s="74">
        <f t="shared" ref="M54:M65" si="27">H54*(1.2)</f>
        <v>570000</v>
      </c>
    </row>
    <row r="55">
      <c r="A55" s="5" t="s">
        <v>125</v>
      </c>
      <c r="B55" s="27" t="s">
        <v>126</v>
      </c>
      <c r="C55" s="100" t="s">
        <v>240</v>
      </c>
      <c r="D55" s="29">
        <v>3800.0</v>
      </c>
      <c r="E55" s="29"/>
      <c r="F55" s="29">
        <v>200.0</v>
      </c>
      <c r="G55" s="48">
        <f t="shared" si="24"/>
        <v>4000</v>
      </c>
      <c r="H55" s="73">
        <v>500000.0</v>
      </c>
      <c r="I55" s="29" t="s">
        <v>329</v>
      </c>
      <c r="J55" s="29" t="str">
        <f t="shared" si="25"/>
        <v>q/4000 * $500000</v>
      </c>
      <c r="K55" s="74">
        <f t="shared" si="26"/>
        <v>375000</v>
      </c>
      <c r="L55" s="29" t="s">
        <v>330</v>
      </c>
      <c r="M55" s="74">
        <f t="shared" si="27"/>
        <v>600000</v>
      </c>
    </row>
    <row r="56">
      <c r="A56" s="5" t="s">
        <v>125</v>
      </c>
      <c r="B56" s="27" t="s">
        <v>126</v>
      </c>
      <c r="C56" s="100" t="s">
        <v>241</v>
      </c>
      <c r="D56" s="29">
        <v>3800.0</v>
      </c>
      <c r="E56" s="29"/>
      <c r="F56" s="29">
        <v>235.0</v>
      </c>
      <c r="G56" s="48">
        <f t="shared" si="24"/>
        <v>4035</v>
      </c>
      <c r="H56" s="73">
        <v>525000.0</v>
      </c>
      <c r="I56" s="29" t="s">
        <v>329</v>
      </c>
      <c r="J56" s="29" t="str">
        <f t="shared" si="25"/>
        <v>q/4035 * $525000</v>
      </c>
      <c r="K56" s="74">
        <f t="shared" si="26"/>
        <v>393750</v>
      </c>
      <c r="L56" s="29" t="s">
        <v>330</v>
      </c>
      <c r="M56" s="74">
        <f t="shared" si="27"/>
        <v>630000</v>
      </c>
    </row>
    <row r="57">
      <c r="A57" s="5" t="s">
        <v>125</v>
      </c>
      <c r="B57" s="27" t="s">
        <v>126</v>
      </c>
      <c r="C57" s="100" t="s">
        <v>242</v>
      </c>
      <c r="D57" s="29">
        <v>3800.0</v>
      </c>
      <c r="E57" s="29"/>
      <c r="F57" s="29">
        <v>235.0</v>
      </c>
      <c r="G57" s="48">
        <f t="shared" si="24"/>
        <v>4035</v>
      </c>
      <c r="H57" s="73">
        <v>550000.0</v>
      </c>
      <c r="I57" s="29" t="s">
        <v>329</v>
      </c>
      <c r="J57" s="29" t="str">
        <f t="shared" si="25"/>
        <v>q/4035 * $550000</v>
      </c>
      <c r="K57" s="74">
        <f t="shared" si="26"/>
        <v>412500</v>
      </c>
      <c r="L57" s="29" t="s">
        <v>330</v>
      </c>
      <c r="M57" s="74">
        <f t="shared" si="27"/>
        <v>660000</v>
      </c>
    </row>
    <row r="58">
      <c r="A58" s="5" t="s">
        <v>125</v>
      </c>
      <c r="B58" s="27" t="s">
        <v>126</v>
      </c>
      <c r="C58" s="100" t="s">
        <v>243</v>
      </c>
      <c r="D58" s="29">
        <v>3800.0</v>
      </c>
      <c r="E58" s="29"/>
      <c r="F58" s="29">
        <v>235.0</v>
      </c>
      <c r="G58" s="48">
        <f t="shared" si="24"/>
        <v>4035</v>
      </c>
      <c r="H58" s="73">
        <v>575000.0</v>
      </c>
      <c r="I58" s="29" t="s">
        <v>329</v>
      </c>
      <c r="J58" s="29" t="str">
        <f t="shared" si="25"/>
        <v>q/4035 * $575000</v>
      </c>
      <c r="K58" s="74">
        <f t="shared" si="26"/>
        <v>431250</v>
      </c>
      <c r="L58" s="29" t="s">
        <v>330</v>
      </c>
      <c r="M58" s="74">
        <f t="shared" si="27"/>
        <v>690000</v>
      </c>
    </row>
    <row r="59">
      <c r="A59" s="5" t="s">
        <v>125</v>
      </c>
      <c r="B59" s="27" t="s">
        <v>126</v>
      </c>
      <c r="C59" s="100" t="s">
        <v>244</v>
      </c>
      <c r="D59" s="29">
        <v>3800.0</v>
      </c>
      <c r="E59" s="29"/>
      <c r="F59" s="29">
        <v>235.0</v>
      </c>
      <c r="G59" s="48">
        <f t="shared" si="24"/>
        <v>4035</v>
      </c>
      <c r="H59" s="73">
        <v>675000.0</v>
      </c>
      <c r="I59" s="29" t="s">
        <v>329</v>
      </c>
      <c r="J59" s="29" t="str">
        <f t="shared" si="25"/>
        <v>q/4035 * $675000</v>
      </c>
      <c r="K59" s="74">
        <f t="shared" si="26"/>
        <v>506250</v>
      </c>
      <c r="L59" s="29" t="s">
        <v>330</v>
      </c>
      <c r="M59" s="74">
        <f t="shared" si="27"/>
        <v>810000</v>
      </c>
    </row>
    <row r="60">
      <c r="A60" s="5" t="s">
        <v>125</v>
      </c>
      <c r="B60" s="27" t="s">
        <v>126</v>
      </c>
      <c r="C60" s="100" t="s">
        <v>247</v>
      </c>
      <c r="D60" s="29">
        <v>3800.0</v>
      </c>
      <c r="E60" s="29"/>
      <c r="F60" s="29">
        <v>235.0</v>
      </c>
      <c r="G60" s="48">
        <f t="shared" si="24"/>
        <v>4035</v>
      </c>
      <c r="H60" s="73">
        <v>675000.0</v>
      </c>
      <c r="I60" s="29" t="s">
        <v>329</v>
      </c>
      <c r="J60" s="29" t="str">
        <f t="shared" si="25"/>
        <v>q/4035 * $675000</v>
      </c>
      <c r="K60" s="74">
        <f t="shared" si="26"/>
        <v>506250</v>
      </c>
      <c r="L60" s="29" t="s">
        <v>330</v>
      </c>
      <c r="M60" s="74">
        <f t="shared" si="27"/>
        <v>810000</v>
      </c>
    </row>
    <row r="61">
      <c r="A61" s="5" t="s">
        <v>125</v>
      </c>
      <c r="B61" s="27" t="s">
        <v>126</v>
      </c>
      <c r="C61" s="100" t="s">
        <v>248</v>
      </c>
      <c r="D61" s="29">
        <v>3800.0</v>
      </c>
      <c r="E61" s="29"/>
      <c r="F61" s="29">
        <v>235.0</v>
      </c>
      <c r="G61" s="48">
        <f t="shared" si="24"/>
        <v>4035</v>
      </c>
      <c r="H61" s="73">
        <v>675000.0</v>
      </c>
      <c r="I61" s="29" t="s">
        <v>329</v>
      </c>
      <c r="J61" s="29" t="str">
        <f t="shared" si="25"/>
        <v>q/4035 * $675000</v>
      </c>
      <c r="K61" s="74">
        <f t="shared" si="26"/>
        <v>506250</v>
      </c>
      <c r="L61" s="29" t="s">
        <v>330</v>
      </c>
      <c r="M61" s="74">
        <f t="shared" si="27"/>
        <v>810000</v>
      </c>
    </row>
    <row r="62">
      <c r="A62" s="5" t="s">
        <v>125</v>
      </c>
      <c r="B62" s="27" t="s">
        <v>126</v>
      </c>
      <c r="C62" s="76" t="s">
        <v>249</v>
      </c>
      <c r="D62" s="29">
        <v>3800.0</v>
      </c>
      <c r="E62" s="29"/>
      <c r="F62" s="29">
        <v>235.0</v>
      </c>
      <c r="G62" s="48">
        <f t="shared" si="24"/>
        <v>4035</v>
      </c>
      <c r="H62" s="73">
        <v>675000.0</v>
      </c>
      <c r="I62" s="29" t="s">
        <v>329</v>
      </c>
      <c r="J62" s="29" t="str">
        <f t="shared" si="25"/>
        <v>q/4035 * $675000</v>
      </c>
      <c r="K62" s="74">
        <f t="shared" si="26"/>
        <v>506250</v>
      </c>
      <c r="L62" s="29" t="s">
        <v>330</v>
      </c>
      <c r="M62" s="74">
        <f t="shared" si="27"/>
        <v>810000</v>
      </c>
    </row>
    <row r="63">
      <c r="A63" s="5" t="s">
        <v>125</v>
      </c>
      <c r="B63" s="27" t="s">
        <v>126</v>
      </c>
      <c r="C63" s="76" t="s">
        <v>250</v>
      </c>
      <c r="D63" s="29">
        <v>3800.0</v>
      </c>
      <c r="E63" s="29"/>
      <c r="F63" s="29">
        <v>235.0</v>
      </c>
      <c r="G63" s="48">
        <f t="shared" si="24"/>
        <v>4035</v>
      </c>
      <c r="H63" s="73">
        <v>675000.0</v>
      </c>
      <c r="I63" s="29" t="s">
        <v>329</v>
      </c>
      <c r="J63" s="29" t="str">
        <f t="shared" si="25"/>
        <v>q/4035 * $675000</v>
      </c>
      <c r="K63" s="74">
        <f t="shared" si="26"/>
        <v>506250</v>
      </c>
      <c r="L63" s="29" t="s">
        <v>330</v>
      </c>
      <c r="M63" s="74">
        <f t="shared" si="27"/>
        <v>810000</v>
      </c>
    </row>
    <row r="64">
      <c r="A64" s="5" t="s">
        <v>125</v>
      </c>
      <c r="B64" s="27" t="s">
        <v>126</v>
      </c>
      <c r="C64" s="76" t="s">
        <v>251</v>
      </c>
      <c r="D64" s="29">
        <v>3800.0</v>
      </c>
      <c r="E64" s="29"/>
      <c r="F64" s="29">
        <v>235.0</v>
      </c>
      <c r="G64" s="48">
        <f t="shared" si="24"/>
        <v>4035</v>
      </c>
      <c r="H64" s="73">
        <v>675000.0</v>
      </c>
      <c r="I64" s="29" t="s">
        <v>329</v>
      </c>
      <c r="J64" s="29" t="str">
        <f t="shared" si="25"/>
        <v>q/4035 * $675000</v>
      </c>
      <c r="K64" s="74">
        <f t="shared" si="26"/>
        <v>506250</v>
      </c>
      <c r="L64" s="29" t="s">
        <v>330</v>
      </c>
      <c r="M64" s="74">
        <f t="shared" si="27"/>
        <v>810000</v>
      </c>
    </row>
    <row r="65">
      <c r="A65" s="5" t="s">
        <v>125</v>
      </c>
      <c r="B65" s="27" t="s">
        <v>126</v>
      </c>
      <c r="C65" s="76" t="s">
        <v>252</v>
      </c>
      <c r="D65" s="29">
        <v>3800.0</v>
      </c>
      <c r="E65" s="29"/>
      <c r="F65" s="29">
        <v>235.0</v>
      </c>
      <c r="G65" s="48">
        <f t="shared" si="24"/>
        <v>4035</v>
      </c>
      <c r="H65" s="73">
        <v>675000.0</v>
      </c>
      <c r="I65" s="29" t="s">
        <v>329</v>
      </c>
      <c r="J65" s="29" t="str">
        <f t="shared" si="25"/>
        <v>q/4035 * $675000</v>
      </c>
      <c r="K65" s="74">
        <f t="shared" si="26"/>
        <v>506250</v>
      </c>
      <c r="L65" s="29" t="s">
        <v>330</v>
      </c>
      <c r="M65" s="74">
        <f t="shared" si="27"/>
        <v>810000</v>
      </c>
    </row>
    <row r="66">
      <c r="A66" s="44"/>
      <c r="B66" s="46"/>
      <c r="C66" s="77"/>
      <c r="D66" s="92"/>
      <c r="E66" s="92"/>
      <c r="F66" s="92"/>
      <c r="G66" s="44"/>
      <c r="H66" s="91"/>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row>
    <row r="67">
      <c r="A67" s="93" t="s">
        <v>129</v>
      </c>
      <c r="B67" s="15" t="s">
        <v>130</v>
      </c>
      <c r="C67" s="99">
        <v>40483.0</v>
      </c>
      <c r="D67" s="29">
        <v>4700.0</v>
      </c>
      <c r="E67" s="29"/>
      <c r="F67" s="29">
        <v>200.0</v>
      </c>
      <c r="G67" s="48">
        <f t="shared" ref="G67:G71" si="28">D67+F67</f>
        <v>4900</v>
      </c>
      <c r="H67" s="73">
        <v>200000.0</v>
      </c>
      <c r="I67" s="29" t="s">
        <v>331</v>
      </c>
      <c r="J67" s="29" t="str">
        <f t="shared" ref="J67:J74" si="29">concatenate("q", "/", G67, " * $", H67)</f>
        <v>q/4900 * $200000</v>
      </c>
      <c r="K67" s="74">
        <f t="shared" ref="K67:K71" si="30">H67*0.5</f>
        <v>100000</v>
      </c>
      <c r="L67" s="29" t="s">
        <v>332</v>
      </c>
      <c r="M67" s="74">
        <f t="shared" ref="M67:M71" si="31">H67*(1.1)</f>
        <v>220000</v>
      </c>
    </row>
    <row r="68">
      <c r="A68" s="93" t="s">
        <v>129</v>
      </c>
      <c r="B68" s="15" t="s">
        <v>130</v>
      </c>
      <c r="C68" s="99">
        <v>40878.0</v>
      </c>
      <c r="D68" s="29">
        <v>4450.0</v>
      </c>
      <c r="E68" s="29"/>
      <c r="F68" s="29">
        <v>250.0</v>
      </c>
      <c r="G68" s="48">
        <f t="shared" si="28"/>
        <v>4700</v>
      </c>
      <c r="H68" s="73">
        <v>250000.0</v>
      </c>
      <c r="I68" s="29" t="s">
        <v>331</v>
      </c>
      <c r="J68" s="29" t="str">
        <f t="shared" si="29"/>
        <v>q/4700 * $250000</v>
      </c>
      <c r="K68" s="74">
        <f t="shared" si="30"/>
        <v>125000</v>
      </c>
      <c r="L68" s="29" t="s">
        <v>332</v>
      </c>
      <c r="M68" s="74">
        <f t="shared" si="31"/>
        <v>275000</v>
      </c>
      <c r="O68" s="29" t="s">
        <v>18</v>
      </c>
    </row>
    <row r="69">
      <c r="A69" s="93" t="s">
        <v>129</v>
      </c>
      <c r="B69" s="15" t="s">
        <v>130</v>
      </c>
      <c r="C69" s="100" t="s">
        <v>236</v>
      </c>
      <c r="D69" s="29">
        <v>4470.0</v>
      </c>
      <c r="E69" s="29"/>
      <c r="F69" s="29">
        <v>280.0</v>
      </c>
      <c r="G69" s="48">
        <f t="shared" si="28"/>
        <v>4750</v>
      </c>
      <c r="H69" s="73">
        <v>300000.0</v>
      </c>
      <c r="I69" s="29" t="s">
        <v>331</v>
      </c>
      <c r="J69" s="29" t="str">
        <f t="shared" si="29"/>
        <v>q/4750 * $300000</v>
      </c>
      <c r="K69" s="74">
        <f t="shared" si="30"/>
        <v>150000</v>
      </c>
      <c r="L69" s="29" t="s">
        <v>332</v>
      </c>
      <c r="M69" s="74">
        <f t="shared" si="31"/>
        <v>330000</v>
      </c>
      <c r="O69" s="29" t="s">
        <v>18</v>
      </c>
    </row>
    <row r="70">
      <c r="A70" s="93" t="s">
        <v>129</v>
      </c>
      <c r="B70" s="15" t="s">
        <v>130</v>
      </c>
      <c r="C70" s="100" t="s">
        <v>237</v>
      </c>
      <c r="D70" s="29">
        <v>4490.0</v>
      </c>
      <c r="E70" s="29"/>
      <c r="F70" s="29">
        <v>300.0</v>
      </c>
      <c r="G70" s="48">
        <f t="shared" si="28"/>
        <v>4790</v>
      </c>
      <c r="H70" s="73">
        <v>350000.0</v>
      </c>
      <c r="I70" s="29" t="s">
        <v>331</v>
      </c>
      <c r="J70" s="29" t="str">
        <f t="shared" si="29"/>
        <v>q/4790 * $350000</v>
      </c>
      <c r="K70" s="74">
        <f t="shared" si="30"/>
        <v>175000</v>
      </c>
      <c r="L70" s="29" t="s">
        <v>332</v>
      </c>
      <c r="M70" s="74">
        <f t="shared" si="31"/>
        <v>385000</v>
      </c>
      <c r="O70" s="29" t="s">
        <v>18</v>
      </c>
    </row>
    <row r="71">
      <c r="A71" s="93" t="s">
        <v>129</v>
      </c>
      <c r="B71" s="15" t="s">
        <v>130</v>
      </c>
      <c r="C71" s="100" t="s">
        <v>238</v>
      </c>
      <c r="D71" s="29">
        <v>4500.0</v>
      </c>
      <c r="E71" s="29"/>
      <c r="F71" s="29">
        <v>300.0</v>
      </c>
      <c r="G71" s="48">
        <f t="shared" si="28"/>
        <v>4800</v>
      </c>
      <c r="H71" s="73">
        <v>400000.0</v>
      </c>
      <c r="I71" s="29" t="s">
        <v>331</v>
      </c>
      <c r="J71" s="29" t="str">
        <f t="shared" si="29"/>
        <v>q/4800 * $400000</v>
      </c>
      <c r="K71" s="74">
        <f t="shared" si="30"/>
        <v>200000</v>
      </c>
      <c r="L71" s="29" t="s">
        <v>332</v>
      </c>
      <c r="M71" s="74">
        <f t="shared" si="31"/>
        <v>440000</v>
      </c>
      <c r="O71" s="29" t="s">
        <v>18</v>
      </c>
    </row>
    <row r="72">
      <c r="A72" s="93" t="s">
        <v>129</v>
      </c>
      <c r="B72" s="15" t="s">
        <v>130</v>
      </c>
      <c r="C72" s="11" t="s">
        <v>239</v>
      </c>
      <c r="D72" s="29">
        <v>4000.0</v>
      </c>
      <c r="E72" s="29"/>
      <c r="F72" s="29">
        <v>300.0</v>
      </c>
      <c r="G72" s="40" t="s">
        <v>333</v>
      </c>
      <c r="H72" s="73">
        <v>320000.0</v>
      </c>
      <c r="I72" s="29" t="s">
        <v>331</v>
      </c>
      <c r="J72" s="29" t="str">
        <f t="shared" si="29"/>
        <v>q/4300 * $320000</v>
      </c>
      <c r="K72" s="74">
        <f t="shared" ref="K72:K74" si="32">H72*0.75</f>
        <v>240000</v>
      </c>
      <c r="L72" s="29" t="s">
        <v>334</v>
      </c>
      <c r="M72" s="74">
        <f t="shared" ref="M72:M74" si="33">332000*(1.2)</f>
        <v>398400</v>
      </c>
      <c r="N72" s="29" t="s">
        <v>335</v>
      </c>
      <c r="O72" s="29" t="s">
        <v>18</v>
      </c>
    </row>
    <row r="73">
      <c r="A73" s="93" t="s">
        <v>129</v>
      </c>
      <c r="B73" s="15" t="s">
        <v>130</v>
      </c>
      <c r="C73" s="101" t="s">
        <v>240</v>
      </c>
      <c r="D73" s="29">
        <v>4000.0</v>
      </c>
      <c r="E73" s="29"/>
      <c r="F73" s="29">
        <v>300.0</v>
      </c>
      <c r="G73" s="40" t="s">
        <v>333</v>
      </c>
      <c r="H73" s="73">
        <v>320000.0</v>
      </c>
      <c r="I73" s="29" t="s">
        <v>331</v>
      </c>
      <c r="J73" s="29" t="str">
        <f t="shared" si="29"/>
        <v>q/4300 * $320000</v>
      </c>
      <c r="K73" s="74">
        <f t="shared" si="32"/>
        <v>240000</v>
      </c>
      <c r="L73" s="29" t="s">
        <v>334</v>
      </c>
      <c r="M73" s="74">
        <f t="shared" si="33"/>
        <v>398400</v>
      </c>
      <c r="N73" s="29" t="s">
        <v>335</v>
      </c>
      <c r="O73" s="29" t="s">
        <v>18</v>
      </c>
    </row>
    <row r="74">
      <c r="A74" s="93" t="s">
        <v>129</v>
      </c>
      <c r="B74" s="15" t="s">
        <v>130</v>
      </c>
      <c r="C74" s="101" t="s">
        <v>241</v>
      </c>
      <c r="D74" s="29">
        <v>4000.0</v>
      </c>
      <c r="E74" s="29"/>
      <c r="F74" s="29">
        <v>300.0</v>
      </c>
      <c r="G74" s="40" t="s">
        <v>333</v>
      </c>
      <c r="H74" s="73">
        <v>320000.0</v>
      </c>
      <c r="I74" s="29" t="s">
        <v>331</v>
      </c>
      <c r="J74" s="29" t="str">
        <f t="shared" si="29"/>
        <v>q/4300 * $320000</v>
      </c>
      <c r="K74" s="74">
        <f t="shared" si="32"/>
        <v>240000</v>
      </c>
      <c r="L74" s="29" t="s">
        <v>334</v>
      </c>
      <c r="M74" s="74">
        <f t="shared" si="33"/>
        <v>398400</v>
      </c>
      <c r="N74" s="29" t="s">
        <v>335</v>
      </c>
    </row>
    <row r="75">
      <c r="A75" s="44"/>
      <c r="B75" s="46"/>
      <c r="C75" s="77"/>
      <c r="D75" s="92"/>
      <c r="E75" s="92"/>
      <c r="F75" s="92"/>
      <c r="G75" s="44"/>
      <c r="H75" s="91"/>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row>
    <row r="76">
      <c r="A76" s="37" t="s">
        <v>132</v>
      </c>
      <c r="B76" s="7" t="s">
        <v>133</v>
      </c>
      <c r="C76" s="76">
        <v>2016.0</v>
      </c>
      <c r="D76" s="29">
        <v>710.0</v>
      </c>
      <c r="E76" s="29"/>
      <c r="F76" s="29">
        <v>20.0</v>
      </c>
      <c r="G76" s="48">
        <f t="shared" ref="G76:G85" si="34">sum(D76:F76)</f>
        <v>730</v>
      </c>
      <c r="H76" s="73">
        <v>70000.0</v>
      </c>
      <c r="I76" s="29" t="s">
        <v>336</v>
      </c>
      <c r="J76" s="29" t="str">
        <f t="shared" ref="J76:J85" si="35">concatenate("q", "/", G76, " * $", H76)</f>
        <v>q/730 * $70000</v>
      </c>
      <c r="K76" s="74">
        <f t="shared" ref="K76:K85" si="36">H76*0.75</f>
        <v>52500</v>
      </c>
      <c r="L76" s="29" t="s">
        <v>337</v>
      </c>
      <c r="M76" s="29" t="s">
        <v>37</v>
      </c>
      <c r="N76" s="29" t="s">
        <v>338</v>
      </c>
    </row>
    <row r="77">
      <c r="A77" s="37" t="s">
        <v>132</v>
      </c>
      <c r="B77" s="7" t="s">
        <v>133</v>
      </c>
      <c r="C77" s="76">
        <v>2017.0</v>
      </c>
      <c r="D77" s="29">
        <v>710.0</v>
      </c>
      <c r="E77" s="29"/>
      <c r="F77" s="29">
        <v>25.0</v>
      </c>
      <c r="G77" s="48">
        <f t="shared" si="34"/>
        <v>735</v>
      </c>
      <c r="H77" s="73">
        <v>70000.0</v>
      </c>
      <c r="I77" s="29" t="s">
        <v>336</v>
      </c>
      <c r="J77" s="29" t="str">
        <f t="shared" si="35"/>
        <v>q/735 * $70000</v>
      </c>
      <c r="K77" s="74">
        <f t="shared" si="36"/>
        <v>52500</v>
      </c>
      <c r="L77" s="29" t="s">
        <v>337</v>
      </c>
      <c r="M77" s="29" t="s">
        <v>37</v>
      </c>
      <c r="N77" s="29" t="s">
        <v>338</v>
      </c>
    </row>
    <row r="78">
      <c r="A78" s="37" t="s">
        <v>132</v>
      </c>
      <c r="B78" s="7" t="s">
        <v>133</v>
      </c>
      <c r="C78" s="100" t="s">
        <v>255</v>
      </c>
      <c r="D78" s="29">
        <v>710.0</v>
      </c>
      <c r="E78" s="29"/>
      <c r="F78" s="29">
        <v>35.0</v>
      </c>
      <c r="G78" s="48">
        <f t="shared" si="34"/>
        <v>745</v>
      </c>
      <c r="H78" s="73">
        <v>70000.0</v>
      </c>
      <c r="I78" s="29" t="s">
        <v>336</v>
      </c>
      <c r="J78" s="29" t="str">
        <f t="shared" si="35"/>
        <v>q/745 * $70000</v>
      </c>
      <c r="K78" s="74">
        <f t="shared" si="36"/>
        <v>52500</v>
      </c>
      <c r="L78" s="29" t="s">
        <v>337</v>
      </c>
      <c r="M78" s="29" t="s">
        <v>37</v>
      </c>
      <c r="N78" s="29" t="s">
        <v>338</v>
      </c>
    </row>
    <row r="79">
      <c r="A79" s="37" t="s">
        <v>132</v>
      </c>
      <c r="B79" s="7" t="s">
        <v>133</v>
      </c>
      <c r="C79" s="100" t="s">
        <v>256</v>
      </c>
      <c r="D79" s="29">
        <v>710.0</v>
      </c>
      <c r="E79" s="29"/>
      <c r="F79" s="29">
        <v>35.0</v>
      </c>
      <c r="G79" s="48">
        <f t="shared" si="34"/>
        <v>745</v>
      </c>
      <c r="H79" s="73">
        <v>80000.0</v>
      </c>
      <c r="I79" s="29" t="s">
        <v>336</v>
      </c>
      <c r="J79" s="29" t="str">
        <f t="shared" si="35"/>
        <v>q/745 * $80000</v>
      </c>
      <c r="K79" s="74">
        <f t="shared" si="36"/>
        <v>60000</v>
      </c>
      <c r="L79" s="29" t="s">
        <v>339</v>
      </c>
      <c r="M79" s="29" t="s">
        <v>37</v>
      </c>
      <c r="N79" s="29" t="s">
        <v>340</v>
      </c>
    </row>
    <row r="80">
      <c r="A80" s="37" t="s">
        <v>132</v>
      </c>
      <c r="B80" s="7" t="s">
        <v>133</v>
      </c>
      <c r="C80" s="100" t="s">
        <v>257</v>
      </c>
      <c r="D80" s="29">
        <v>710.0</v>
      </c>
      <c r="E80" s="29"/>
      <c r="F80" s="29">
        <v>35.0</v>
      </c>
      <c r="G80" s="48">
        <f t="shared" si="34"/>
        <v>745</v>
      </c>
      <c r="H80" s="73">
        <v>80000.0</v>
      </c>
      <c r="I80" s="29" t="s">
        <v>336</v>
      </c>
      <c r="J80" s="29" t="str">
        <f t="shared" si="35"/>
        <v>q/745 * $80000</v>
      </c>
      <c r="K80" s="74">
        <f t="shared" si="36"/>
        <v>60000</v>
      </c>
      <c r="L80" s="29" t="s">
        <v>339</v>
      </c>
      <c r="M80" s="29" t="s">
        <v>37</v>
      </c>
      <c r="N80" s="29" t="s">
        <v>340</v>
      </c>
    </row>
    <row r="81">
      <c r="A81" s="37" t="s">
        <v>132</v>
      </c>
      <c r="B81" s="7" t="s">
        <v>133</v>
      </c>
      <c r="C81" s="76" t="s">
        <v>260</v>
      </c>
      <c r="D81" s="29">
        <v>710.0</v>
      </c>
      <c r="E81" s="29"/>
      <c r="F81" s="29">
        <v>35.0</v>
      </c>
      <c r="G81" s="48">
        <f t="shared" si="34"/>
        <v>745</v>
      </c>
      <c r="H81" s="73">
        <v>90000.0</v>
      </c>
      <c r="I81" s="29" t="s">
        <v>336</v>
      </c>
      <c r="J81" s="29" t="str">
        <f t="shared" si="35"/>
        <v>q/745 * $90000</v>
      </c>
      <c r="K81" s="74">
        <f t="shared" si="36"/>
        <v>67500</v>
      </c>
      <c r="L81" s="29" t="s">
        <v>341</v>
      </c>
      <c r="M81" s="29" t="s">
        <v>37</v>
      </c>
      <c r="N81" s="29" t="s">
        <v>342</v>
      </c>
    </row>
    <row r="82">
      <c r="A82" s="37" t="s">
        <v>132</v>
      </c>
      <c r="B82" s="7" t="s">
        <v>133</v>
      </c>
      <c r="C82" s="76" t="s">
        <v>343</v>
      </c>
      <c r="D82" s="29">
        <v>710.0</v>
      </c>
      <c r="E82" s="29"/>
      <c r="F82" s="29">
        <v>35.0</v>
      </c>
      <c r="G82" s="48">
        <f t="shared" si="34"/>
        <v>745</v>
      </c>
      <c r="H82" s="73">
        <v>90000.0</v>
      </c>
      <c r="I82" s="29" t="s">
        <v>336</v>
      </c>
      <c r="J82" s="29" t="str">
        <f t="shared" si="35"/>
        <v>q/745 * $90000</v>
      </c>
      <c r="K82" s="74">
        <f t="shared" si="36"/>
        <v>67500</v>
      </c>
      <c r="L82" s="29" t="s">
        <v>341</v>
      </c>
      <c r="M82" s="29" t="s">
        <v>37</v>
      </c>
      <c r="N82" s="29" t="s">
        <v>342</v>
      </c>
    </row>
    <row r="83">
      <c r="A83" s="37" t="s">
        <v>132</v>
      </c>
      <c r="B83" s="7" t="s">
        <v>133</v>
      </c>
      <c r="C83" s="76" t="s">
        <v>344</v>
      </c>
      <c r="D83" s="29">
        <v>710.0</v>
      </c>
      <c r="E83" s="29"/>
      <c r="F83" s="29">
        <v>35.0</v>
      </c>
      <c r="G83" s="48">
        <f t="shared" si="34"/>
        <v>745</v>
      </c>
      <c r="H83" s="73">
        <v>100000.0</v>
      </c>
      <c r="I83" s="29" t="s">
        <v>336</v>
      </c>
      <c r="J83" s="29" t="str">
        <f t="shared" si="35"/>
        <v>q/745 * $100000</v>
      </c>
      <c r="K83" s="74">
        <f t="shared" si="36"/>
        <v>75000</v>
      </c>
      <c r="L83" s="29" t="s">
        <v>345</v>
      </c>
      <c r="M83" s="29" t="s">
        <v>37</v>
      </c>
      <c r="N83" s="29" t="s">
        <v>346</v>
      </c>
    </row>
    <row r="84">
      <c r="A84" s="37" t="s">
        <v>132</v>
      </c>
      <c r="B84" s="7" t="s">
        <v>133</v>
      </c>
      <c r="C84" s="76" t="s">
        <v>347</v>
      </c>
      <c r="D84" s="29">
        <v>710.0</v>
      </c>
      <c r="E84" s="29"/>
      <c r="F84" s="29">
        <v>35.0</v>
      </c>
      <c r="G84" s="48">
        <f t="shared" si="34"/>
        <v>745</v>
      </c>
      <c r="H84" s="73">
        <v>100000.0</v>
      </c>
      <c r="I84" s="29" t="s">
        <v>336</v>
      </c>
      <c r="J84" s="29" t="str">
        <f t="shared" si="35"/>
        <v>q/745 * $100000</v>
      </c>
      <c r="K84" s="74">
        <f t="shared" si="36"/>
        <v>75000</v>
      </c>
      <c r="L84" s="29" t="s">
        <v>345</v>
      </c>
      <c r="M84" s="29" t="s">
        <v>37</v>
      </c>
      <c r="N84" s="29" t="s">
        <v>346</v>
      </c>
    </row>
    <row r="85">
      <c r="A85" s="37" t="s">
        <v>132</v>
      </c>
      <c r="B85" s="7" t="s">
        <v>133</v>
      </c>
      <c r="C85" s="76" t="s">
        <v>348</v>
      </c>
      <c r="D85" s="29">
        <v>710.0</v>
      </c>
      <c r="E85" s="29"/>
      <c r="F85" s="29">
        <v>35.0</v>
      </c>
      <c r="G85" s="48">
        <f t="shared" si="34"/>
        <v>745</v>
      </c>
      <c r="H85" s="73">
        <v>100000.0</v>
      </c>
      <c r="I85" s="29" t="s">
        <v>336</v>
      </c>
      <c r="J85" s="29" t="str">
        <f t="shared" si="35"/>
        <v>q/745 * $100000</v>
      </c>
      <c r="K85" s="74">
        <f t="shared" si="36"/>
        <v>75000</v>
      </c>
      <c r="L85" s="29" t="s">
        <v>345</v>
      </c>
      <c r="M85" s="29" t="s">
        <v>37</v>
      </c>
      <c r="N85" s="29" t="s">
        <v>346</v>
      </c>
    </row>
    <row r="86">
      <c r="A86" s="44"/>
      <c r="B86" s="46"/>
      <c r="C86" s="77"/>
      <c r="D86" s="92"/>
      <c r="E86" s="92"/>
      <c r="F86" s="92"/>
      <c r="G86" s="44"/>
      <c r="H86" s="91"/>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row>
    <row r="87">
      <c r="A87" s="28" t="s">
        <v>136</v>
      </c>
      <c r="B87" s="29" t="s">
        <v>137</v>
      </c>
      <c r="C87" s="87">
        <v>2009.0</v>
      </c>
      <c r="D87" s="72">
        <v>350.0</v>
      </c>
      <c r="E87" s="72"/>
      <c r="F87" s="72">
        <v>25.0</v>
      </c>
      <c r="G87" s="48">
        <f t="shared" ref="G87:G96" si="37">sum(D87:F87)</f>
        <v>375</v>
      </c>
      <c r="H87" s="88">
        <f>3000 + 2400</f>
        <v>5400</v>
      </c>
      <c r="I87" s="72" t="s">
        <v>349</v>
      </c>
      <c r="J87" s="72" t="s">
        <v>350</v>
      </c>
      <c r="K87" s="88">
        <f>3000 + 2400</f>
        <v>5400</v>
      </c>
      <c r="L87" s="29" t="s">
        <v>351</v>
      </c>
      <c r="M87" s="74">
        <f t="shared" ref="M87:M91" si="38">H87*(1.25)</f>
        <v>6750</v>
      </c>
      <c r="N87" s="90"/>
      <c r="O87" s="90"/>
      <c r="P87" s="90"/>
      <c r="Q87" s="90"/>
      <c r="R87" s="90"/>
      <c r="S87" s="90"/>
      <c r="T87" s="90"/>
      <c r="U87" s="90"/>
      <c r="V87" s="90"/>
      <c r="W87" s="90"/>
      <c r="X87" s="90"/>
      <c r="Y87" s="90"/>
      <c r="Z87" s="90"/>
      <c r="AA87" s="90"/>
      <c r="AB87" s="90"/>
      <c r="AC87" s="90"/>
      <c r="AD87" s="90"/>
      <c r="AE87" s="90"/>
      <c r="AF87" s="90"/>
      <c r="AG87" s="90"/>
    </row>
    <row r="88">
      <c r="A88" s="28" t="s">
        <v>136</v>
      </c>
      <c r="B88" s="29" t="s">
        <v>137</v>
      </c>
      <c r="C88" s="87">
        <v>2010.0</v>
      </c>
      <c r="D88" s="72">
        <v>350.0</v>
      </c>
      <c r="E88" s="72"/>
      <c r="F88" s="72">
        <v>25.0</v>
      </c>
      <c r="G88" s="48">
        <f t="shared" si="37"/>
        <v>375</v>
      </c>
      <c r="H88" s="88">
        <f>3000 + 4800</f>
        <v>7800</v>
      </c>
      <c r="I88" s="72" t="s">
        <v>349</v>
      </c>
      <c r="J88" s="72" t="s">
        <v>350</v>
      </c>
      <c r="K88" s="88">
        <f>3000 + 4800</f>
        <v>7800</v>
      </c>
      <c r="L88" s="29" t="s">
        <v>351</v>
      </c>
      <c r="M88" s="74">
        <f t="shared" si="38"/>
        <v>9750</v>
      </c>
      <c r="N88" s="90"/>
      <c r="O88" s="90"/>
      <c r="P88" s="90"/>
      <c r="Q88" s="90"/>
      <c r="R88" s="90"/>
      <c r="S88" s="90"/>
      <c r="T88" s="90"/>
      <c r="U88" s="90"/>
      <c r="V88" s="90"/>
      <c r="W88" s="90"/>
      <c r="X88" s="90"/>
      <c r="Y88" s="90"/>
      <c r="Z88" s="90"/>
      <c r="AA88" s="90"/>
      <c r="AB88" s="90"/>
      <c r="AC88" s="90"/>
      <c r="AD88" s="90"/>
      <c r="AE88" s="90"/>
      <c r="AF88" s="90"/>
      <c r="AG88" s="90"/>
    </row>
    <row r="89">
      <c r="A89" s="28" t="s">
        <v>136</v>
      </c>
      <c r="B89" s="29" t="s">
        <v>137</v>
      </c>
      <c r="C89" s="87">
        <v>2011.0</v>
      </c>
      <c r="D89" s="72">
        <v>350.0</v>
      </c>
      <c r="E89" s="72"/>
      <c r="F89" s="72">
        <v>25.0</v>
      </c>
      <c r="G89" s="48">
        <f t="shared" si="37"/>
        <v>375</v>
      </c>
      <c r="H89" s="88">
        <f>3000+8400</f>
        <v>11400</v>
      </c>
      <c r="I89" s="72" t="s">
        <v>349</v>
      </c>
      <c r="J89" s="72" t="s">
        <v>350</v>
      </c>
      <c r="K89" s="88">
        <f>3000+8400</f>
        <v>11400</v>
      </c>
      <c r="L89" s="29" t="s">
        <v>351</v>
      </c>
      <c r="M89" s="74">
        <f t="shared" si="38"/>
        <v>14250</v>
      </c>
      <c r="N89" s="90"/>
      <c r="O89" s="90"/>
      <c r="P89" s="90"/>
      <c r="Q89" s="90"/>
      <c r="R89" s="90"/>
      <c r="S89" s="90"/>
      <c r="T89" s="90"/>
      <c r="U89" s="90"/>
      <c r="V89" s="90"/>
      <c r="W89" s="90"/>
      <c r="X89" s="90"/>
      <c r="Y89" s="90"/>
      <c r="Z89" s="90"/>
      <c r="AA89" s="90"/>
      <c r="AB89" s="90"/>
      <c r="AC89" s="90"/>
      <c r="AD89" s="90"/>
      <c r="AE89" s="90"/>
      <c r="AF89" s="90"/>
      <c r="AG89" s="90"/>
    </row>
    <row r="90">
      <c r="A90" s="28" t="s">
        <v>136</v>
      </c>
      <c r="B90" s="29" t="s">
        <v>137</v>
      </c>
      <c r="C90" s="87">
        <v>2012.0</v>
      </c>
      <c r="D90" s="72">
        <v>350.0</v>
      </c>
      <c r="E90" s="72"/>
      <c r="F90" s="72">
        <v>25.0</v>
      </c>
      <c r="G90" s="48">
        <f t="shared" si="37"/>
        <v>375</v>
      </c>
      <c r="H90" s="88">
        <f>3000+18000</f>
        <v>21000</v>
      </c>
      <c r="I90" s="72" t="s">
        <v>349</v>
      </c>
      <c r="J90" s="72" t="s">
        <v>350</v>
      </c>
      <c r="K90" s="88">
        <f>3000+18000</f>
        <v>21000</v>
      </c>
      <c r="L90" s="29" t="s">
        <v>351</v>
      </c>
      <c r="M90" s="74">
        <f t="shared" si="38"/>
        <v>26250</v>
      </c>
      <c r="N90" s="90"/>
      <c r="O90" s="90"/>
      <c r="P90" s="90"/>
      <c r="Q90" s="90"/>
      <c r="R90" s="90"/>
      <c r="S90" s="90"/>
      <c r="T90" s="90"/>
      <c r="U90" s="90"/>
      <c r="V90" s="90"/>
      <c r="W90" s="90"/>
      <c r="X90" s="90"/>
      <c r="Y90" s="90"/>
      <c r="Z90" s="90"/>
      <c r="AA90" s="90"/>
      <c r="AB90" s="90"/>
      <c r="AC90" s="90"/>
      <c r="AD90" s="90"/>
      <c r="AE90" s="90"/>
      <c r="AF90" s="90"/>
      <c r="AG90" s="90"/>
    </row>
    <row r="91">
      <c r="A91" s="28" t="s">
        <v>136</v>
      </c>
      <c r="B91" s="29" t="s">
        <v>137</v>
      </c>
      <c r="C91" s="87">
        <v>2013.0</v>
      </c>
      <c r="D91" s="72">
        <v>350.0</v>
      </c>
      <c r="E91" s="72"/>
      <c r="F91" s="72">
        <v>25.0</v>
      </c>
      <c r="G91" s="48">
        <f t="shared" si="37"/>
        <v>375</v>
      </c>
      <c r="H91" s="88">
        <f>3000+9000</f>
        <v>12000</v>
      </c>
      <c r="I91" s="72" t="s">
        <v>349</v>
      </c>
      <c r="J91" s="72" t="s">
        <v>350</v>
      </c>
      <c r="K91" s="88">
        <f>3000+9000</f>
        <v>12000</v>
      </c>
      <c r="L91" s="29" t="s">
        <v>351</v>
      </c>
      <c r="M91" s="74">
        <f t="shared" si="38"/>
        <v>15000</v>
      </c>
      <c r="N91" s="90"/>
      <c r="O91" s="90"/>
      <c r="P91" s="90"/>
      <c r="Q91" s="90"/>
      <c r="R91" s="90"/>
      <c r="S91" s="90"/>
      <c r="T91" s="90"/>
      <c r="U91" s="90"/>
      <c r="V91" s="90"/>
      <c r="W91" s="90"/>
      <c r="X91" s="90"/>
      <c r="Y91" s="90"/>
      <c r="Z91" s="90"/>
      <c r="AA91" s="90"/>
      <c r="AB91" s="90"/>
      <c r="AC91" s="90"/>
      <c r="AD91" s="90"/>
      <c r="AE91" s="90"/>
      <c r="AF91" s="90"/>
      <c r="AG91" s="90"/>
    </row>
    <row r="92">
      <c r="A92" s="28" t="s">
        <v>136</v>
      </c>
      <c r="B92" s="29" t="s">
        <v>137</v>
      </c>
      <c r="C92" s="87">
        <v>2014.0</v>
      </c>
      <c r="D92" s="72">
        <v>350.0</v>
      </c>
      <c r="E92" s="72"/>
      <c r="F92" s="72">
        <v>25.0</v>
      </c>
      <c r="G92" s="48">
        <f t="shared" si="37"/>
        <v>375</v>
      </c>
      <c r="H92" s="88">
        <f t="shared" ref="H92:H96" si="39">4000+9000</f>
        <v>13000</v>
      </c>
      <c r="I92" s="72" t="s">
        <v>352</v>
      </c>
      <c r="J92" s="29" t="str">
        <f t="shared" ref="J92:J96" si="40">concatenate("q", "/", G92, " * $", H92)</f>
        <v>q/375 * $13000</v>
      </c>
      <c r="K92" s="89">
        <f t="shared" ref="K92:K96" si="41">H92*(2/3)</f>
        <v>8666.666667</v>
      </c>
      <c r="L92" s="29" t="s">
        <v>353</v>
      </c>
      <c r="M92" s="89">
        <f t="shared" ref="M92:M96" si="42">H92*(1.2)</f>
        <v>15600</v>
      </c>
      <c r="N92" s="72" t="s">
        <v>354</v>
      </c>
      <c r="O92" s="90"/>
      <c r="P92" s="90"/>
      <c r="Q92" s="90"/>
      <c r="R92" s="90"/>
      <c r="S92" s="90"/>
      <c r="T92" s="90"/>
      <c r="U92" s="90"/>
      <c r="V92" s="90"/>
      <c r="W92" s="90"/>
      <c r="X92" s="90"/>
      <c r="Y92" s="90"/>
      <c r="Z92" s="90"/>
      <c r="AA92" s="90"/>
      <c r="AB92" s="90"/>
      <c r="AC92" s="90"/>
      <c r="AD92" s="90"/>
      <c r="AE92" s="90"/>
      <c r="AF92" s="90"/>
      <c r="AG92" s="90"/>
    </row>
    <row r="93">
      <c r="A93" s="28" t="s">
        <v>136</v>
      </c>
      <c r="B93" s="29" t="s">
        <v>137</v>
      </c>
      <c r="C93" s="87">
        <v>2015.0</v>
      </c>
      <c r="D93" s="72">
        <v>350.0</v>
      </c>
      <c r="E93" s="72"/>
      <c r="F93" s="72">
        <v>25.0</v>
      </c>
      <c r="G93" s="48">
        <f t="shared" si="37"/>
        <v>375</v>
      </c>
      <c r="H93" s="88">
        <f t="shared" si="39"/>
        <v>13000</v>
      </c>
      <c r="I93" s="72" t="s">
        <v>352</v>
      </c>
      <c r="J93" s="29" t="str">
        <f t="shared" si="40"/>
        <v>q/375 * $13000</v>
      </c>
      <c r="K93" s="89">
        <f t="shared" si="41"/>
        <v>8666.666667</v>
      </c>
      <c r="L93" s="29" t="s">
        <v>353</v>
      </c>
      <c r="M93" s="89">
        <f t="shared" si="42"/>
        <v>15600</v>
      </c>
      <c r="N93" s="72" t="s">
        <v>354</v>
      </c>
      <c r="O93" s="90"/>
      <c r="P93" s="90"/>
      <c r="Q93" s="90"/>
      <c r="R93" s="90"/>
      <c r="S93" s="90"/>
      <c r="T93" s="90"/>
      <c r="U93" s="90"/>
      <c r="V93" s="90"/>
      <c r="W93" s="90"/>
      <c r="X93" s="90"/>
      <c r="Y93" s="90"/>
      <c r="Z93" s="90"/>
      <c r="AA93" s="90"/>
      <c r="AB93" s="90"/>
      <c r="AC93" s="90"/>
      <c r="AD93" s="90"/>
      <c r="AE93" s="90"/>
      <c r="AF93" s="90"/>
      <c r="AG93" s="90"/>
    </row>
    <row r="94">
      <c r="A94" s="28" t="s">
        <v>136</v>
      </c>
      <c r="B94" s="29" t="s">
        <v>137</v>
      </c>
      <c r="C94" s="87">
        <v>2016.0</v>
      </c>
      <c r="D94" s="72">
        <v>350.0</v>
      </c>
      <c r="E94" s="72"/>
      <c r="F94" s="72">
        <v>25.0</v>
      </c>
      <c r="G94" s="48">
        <f t="shared" si="37"/>
        <v>375</v>
      </c>
      <c r="H94" s="88">
        <f t="shared" si="39"/>
        <v>13000</v>
      </c>
      <c r="I94" s="72" t="s">
        <v>352</v>
      </c>
      <c r="J94" s="29" t="str">
        <f t="shared" si="40"/>
        <v>q/375 * $13000</v>
      </c>
      <c r="K94" s="89">
        <f t="shared" si="41"/>
        <v>8666.666667</v>
      </c>
      <c r="L94" s="29" t="s">
        <v>353</v>
      </c>
      <c r="M94" s="89">
        <f t="shared" si="42"/>
        <v>15600</v>
      </c>
      <c r="N94" s="72" t="s">
        <v>354</v>
      </c>
      <c r="O94" s="90"/>
      <c r="P94" s="90"/>
      <c r="Q94" s="90"/>
      <c r="R94" s="90"/>
      <c r="S94" s="90"/>
      <c r="T94" s="90"/>
      <c r="U94" s="90"/>
      <c r="V94" s="90"/>
      <c r="W94" s="90"/>
      <c r="X94" s="90"/>
      <c r="Y94" s="90"/>
      <c r="Z94" s="90"/>
      <c r="AA94" s="90"/>
      <c r="AB94" s="90"/>
      <c r="AC94" s="90"/>
      <c r="AD94" s="90"/>
      <c r="AE94" s="90"/>
      <c r="AF94" s="90"/>
      <c r="AG94" s="90"/>
    </row>
    <row r="95">
      <c r="A95" s="28" t="s">
        <v>136</v>
      </c>
      <c r="B95" s="29" t="s">
        <v>137</v>
      </c>
      <c r="C95" s="87">
        <v>2017.0</v>
      </c>
      <c r="D95" s="72">
        <v>350.0</v>
      </c>
      <c r="E95" s="72"/>
      <c r="F95" s="72">
        <v>25.0</v>
      </c>
      <c r="G95" s="48">
        <f t="shared" si="37"/>
        <v>375</v>
      </c>
      <c r="H95" s="88">
        <f t="shared" si="39"/>
        <v>13000</v>
      </c>
      <c r="I95" s="72" t="s">
        <v>352</v>
      </c>
      <c r="J95" s="29" t="str">
        <f t="shared" si="40"/>
        <v>q/375 * $13000</v>
      </c>
      <c r="K95" s="89">
        <f t="shared" si="41"/>
        <v>8666.666667</v>
      </c>
      <c r="L95" s="29" t="s">
        <v>353</v>
      </c>
      <c r="M95" s="89">
        <f t="shared" si="42"/>
        <v>15600</v>
      </c>
      <c r="N95" s="72" t="s">
        <v>354</v>
      </c>
      <c r="O95" s="90"/>
      <c r="P95" s="90"/>
      <c r="Q95" s="90"/>
      <c r="R95" s="90"/>
      <c r="S95" s="90"/>
      <c r="T95" s="90"/>
      <c r="U95" s="90"/>
      <c r="V95" s="90"/>
      <c r="W95" s="90"/>
      <c r="X95" s="90"/>
      <c r="Y95" s="90"/>
      <c r="Z95" s="90"/>
      <c r="AA95" s="90"/>
      <c r="AB95" s="90"/>
      <c r="AC95" s="90"/>
      <c r="AD95" s="90"/>
      <c r="AE95" s="90"/>
      <c r="AF95" s="90"/>
      <c r="AG95" s="90"/>
    </row>
    <row r="96">
      <c r="A96" s="28" t="s">
        <v>136</v>
      </c>
      <c r="B96" s="29" t="s">
        <v>137</v>
      </c>
      <c r="C96" s="87" t="s">
        <v>255</v>
      </c>
      <c r="D96" s="72">
        <v>350.0</v>
      </c>
      <c r="E96" s="72"/>
      <c r="F96" s="72">
        <v>25.0</v>
      </c>
      <c r="G96" s="48">
        <f t="shared" si="37"/>
        <v>375</v>
      </c>
      <c r="H96" s="88">
        <f t="shared" si="39"/>
        <v>13000</v>
      </c>
      <c r="I96" s="72" t="s">
        <v>352</v>
      </c>
      <c r="J96" s="29" t="str">
        <f t="shared" si="40"/>
        <v>q/375 * $13000</v>
      </c>
      <c r="K96" s="89">
        <f t="shared" si="41"/>
        <v>8666.666667</v>
      </c>
      <c r="L96" s="29" t="s">
        <v>353</v>
      </c>
      <c r="M96" s="89">
        <f t="shared" si="42"/>
        <v>15600</v>
      </c>
      <c r="N96" s="72" t="s">
        <v>354</v>
      </c>
      <c r="O96" s="90"/>
      <c r="P96" s="90"/>
      <c r="Q96" s="90"/>
      <c r="R96" s="90"/>
      <c r="S96" s="90"/>
      <c r="T96" s="90"/>
      <c r="U96" s="90"/>
      <c r="V96" s="90"/>
      <c r="W96" s="90"/>
      <c r="X96" s="90"/>
      <c r="Y96" s="90"/>
      <c r="Z96" s="90"/>
      <c r="AA96" s="90"/>
      <c r="AB96" s="90"/>
      <c r="AC96" s="90"/>
      <c r="AD96" s="90"/>
      <c r="AE96" s="90"/>
      <c r="AF96" s="90"/>
      <c r="AG96" s="90"/>
    </row>
    <row r="97">
      <c r="A97" s="44"/>
      <c r="B97" s="46"/>
      <c r="C97" s="77"/>
      <c r="D97" s="92"/>
      <c r="E97" s="92"/>
      <c r="F97" s="92"/>
      <c r="G97" s="44"/>
      <c r="H97" s="91"/>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row>
    <row r="98">
      <c r="A98" s="163" t="s">
        <v>139</v>
      </c>
      <c r="B98" s="23" t="s">
        <v>140</v>
      </c>
      <c r="C98" s="76">
        <v>2016.0</v>
      </c>
      <c r="D98" s="29">
        <v>345.0</v>
      </c>
      <c r="E98" s="29"/>
      <c r="F98" s="29">
        <v>20.0</v>
      </c>
      <c r="G98" s="48">
        <f t="shared" ref="G98:G102" si="43">sum(D98:F98)</f>
        <v>365</v>
      </c>
      <c r="H98" s="73">
        <v>15000.0</v>
      </c>
      <c r="I98" s="29" t="s">
        <v>355</v>
      </c>
      <c r="J98" s="29" t="str">
        <f t="shared" ref="J98:J102" si="44">concatenate("q", "/", G98, " * $", H98)</f>
        <v>q/365 * $15000</v>
      </c>
      <c r="K98" s="74">
        <f t="shared" ref="K98:K102" si="45">H98*(2/3)</f>
        <v>10000</v>
      </c>
      <c r="L98" s="29" t="s">
        <v>356</v>
      </c>
      <c r="M98" s="74">
        <f t="shared" ref="M98:M102" si="46">H98*(1.2)</f>
        <v>18000</v>
      </c>
    </row>
    <row r="99">
      <c r="A99" s="163" t="s">
        <v>139</v>
      </c>
      <c r="B99" s="23" t="s">
        <v>140</v>
      </c>
      <c r="C99" s="76">
        <v>2017.0</v>
      </c>
      <c r="D99" s="29">
        <v>345.0</v>
      </c>
      <c r="E99" s="29"/>
      <c r="F99" s="29">
        <v>20.0</v>
      </c>
      <c r="G99" s="48">
        <f t="shared" si="43"/>
        <v>365</v>
      </c>
      <c r="H99" s="73">
        <v>15000.0</v>
      </c>
      <c r="I99" s="29" t="s">
        <v>355</v>
      </c>
      <c r="J99" s="29" t="str">
        <f t="shared" si="44"/>
        <v>q/365 * $15000</v>
      </c>
      <c r="K99" s="74">
        <f t="shared" si="45"/>
        <v>10000</v>
      </c>
      <c r="L99" s="29" t="s">
        <v>356</v>
      </c>
      <c r="M99" s="74">
        <f t="shared" si="46"/>
        <v>18000</v>
      </c>
    </row>
    <row r="100">
      <c r="A100" s="163" t="s">
        <v>139</v>
      </c>
      <c r="B100" s="23" t="s">
        <v>140</v>
      </c>
      <c r="C100" s="100" t="s">
        <v>255</v>
      </c>
      <c r="D100" s="29">
        <v>345.0</v>
      </c>
      <c r="E100" s="29"/>
      <c r="F100" s="29">
        <v>20.0</v>
      </c>
      <c r="G100" s="48">
        <f t="shared" si="43"/>
        <v>365</v>
      </c>
      <c r="H100" s="73">
        <v>15000.0</v>
      </c>
      <c r="I100" s="29" t="s">
        <v>355</v>
      </c>
      <c r="J100" s="29" t="str">
        <f t="shared" si="44"/>
        <v>q/365 * $15000</v>
      </c>
      <c r="K100" s="74">
        <f t="shared" si="45"/>
        <v>10000</v>
      </c>
      <c r="L100" s="29" t="s">
        <v>356</v>
      </c>
      <c r="M100" s="74">
        <f t="shared" si="46"/>
        <v>18000</v>
      </c>
    </row>
    <row r="101">
      <c r="A101" s="163" t="s">
        <v>139</v>
      </c>
      <c r="B101" s="23" t="s">
        <v>140</v>
      </c>
      <c r="C101" s="100" t="s">
        <v>256</v>
      </c>
      <c r="D101" s="29">
        <v>345.0</v>
      </c>
      <c r="E101" s="29"/>
      <c r="F101" s="29">
        <v>20.0</v>
      </c>
      <c r="G101" s="48">
        <f t="shared" si="43"/>
        <v>365</v>
      </c>
      <c r="H101" s="73">
        <v>15000.0</v>
      </c>
      <c r="I101" s="29" t="s">
        <v>355</v>
      </c>
      <c r="J101" s="29" t="str">
        <f t="shared" si="44"/>
        <v>q/365 * $15000</v>
      </c>
      <c r="K101" s="74">
        <f t="shared" si="45"/>
        <v>10000</v>
      </c>
      <c r="L101" s="29" t="s">
        <v>356</v>
      </c>
      <c r="M101" s="74">
        <f t="shared" si="46"/>
        <v>18000</v>
      </c>
    </row>
    <row r="102">
      <c r="A102" s="163" t="s">
        <v>139</v>
      </c>
      <c r="B102" s="23" t="s">
        <v>140</v>
      </c>
      <c r="C102" s="100" t="s">
        <v>257</v>
      </c>
      <c r="D102" s="29">
        <v>345.0</v>
      </c>
      <c r="E102" s="29"/>
      <c r="F102" s="29">
        <v>20.0</v>
      </c>
      <c r="G102" s="48">
        <f t="shared" si="43"/>
        <v>365</v>
      </c>
      <c r="H102" s="73">
        <v>15000.0</v>
      </c>
      <c r="I102" s="29" t="s">
        <v>355</v>
      </c>
      <c r="J102" s="29" t="str">
        <f t="shared" si="44"/>
        <v>q/365 * $15000</v>
      </c>
      <c r="K102" s="74">
        <f t="shared" si="45"/>
        <v>10000</v>
      </c>
      <c r="L102" s="29" t="s">
        <v>356</v>
      </c>
      <c r="M102" s="74">
        <f t="shared" si="46"/>
        <v>18000</v>
      </c>
    </row>
    <row r="103">
      <c r="A103" s="44"/>
      <c r="B103" s="46"/>
      <c r="C103" s="77"/>
      <c r="D103" s="92"/>
      <c r="E103" s="92"/>
      <c r="F103" s="92"/>
      <c r="G103" s="44"/>
      <c r="H103" s="91"/>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row>
    <row r="104">
      <c r="A104" s="37" t="s">
        <v>142</v>
      </c>
      <c r="B104" s="6" t="s">
        <v>143</v>
      </c>
      <c r="C104" s="76">
        <v>2006.0</v>
      </c>
      <c r="D104" s="29">
        <v>375.0</v>
      </c>
      <c r="E104" s="29"/>
      <c r="F104" s="29">
        <v>25.0</v>
      </c>
      <c r="G104" s="48">
        <f t="shared" ref="G104:G119" si="47">sum(D104:F104)</f>
        <v>400</v>
      </c>
      <c r="H104" s="73">
        <v>25000.0</v>
      </c>
      <c r="I104" s="29" t="s">
        <v>357</v>
      </c>
      <c r="J104" s="29" t="str">
        <f t="shared" ref="J104:J119" si="48">concatenate("q", "/", G104, " * $", H104)</f>
        <v>q/400 * $25000</v>
      </c>
      <c r="K104" s="74">
        <f t="shared" ref="K104:K114" si="49">H104*0.25</f>
        <v>6250</v>
      </c>
      <c r="L104" s="29" t="s">
        <v>358</v>
      </c>
      <c r="M104" s="74">
        <f t="shared" ref="M104:M109" si="50">H104+15000</f>
        <v>40000</v>
      </c>
    </row>
    <row r="105">
      <c r="A105" s="37" t="s">
        <v>142</v>
      </c>
      <c r="B105" s="6" t="s">
        <v>143</v>
      </c>
      <c r="C105" s="76">
        <v>2007.0</v>
      </c>
      <c r="D105" s="29">
        <v>700.0</v>
      </c>
      <c r="E105" s="29"/>
      <c r="F105" s="29">
        <v>45.0</v>
      </c>
      <c r="G105" s="48">
        <f t="shared" si="47"/>
        <v>745</v>
      </c>
      <c r="H105" s="73">
        <v>30000.0</v>
      </c>
      <c r="I105" s="29" t="s">
        <v>357</v>
      </c>
      <c r="J105" s="29" t="str">
        <f t="shared" si="48"/>
        <v>q/745 * $30000</v>
      </c>
      <c r="K105" s="74">
        <f t="shared" si="49"/>
        <v>7500</v>
      </c>
      <c r="L105" s="29" t="s">
        <v>358</v>
      </c>
      <c r="M105" s="74">
        <f t="shared" si="50"/>
        <v>45000</v>
      </c>
    </row>
    <row r="106">
      <c r="A106" s="37" t="s">
        <v>142</v>
      </c>
      <c r="B106" s="6" t="s">
        <v>143</v>
      </c>
      <c r="C106" s="76">
        <v>2008.0</v>
      </c>
      <c r="D106" s="29">
        <v>750.0</v>
      </c>
      <c r="E106" s="29"/>
      <c r="F106" s="29">
        <v>55.0</v>
      </c>
      <c r="G106" s="48">
        <f t="shared" si="47"/>
        <v>805</v>
      </c>
      <c r="H106" s="73">
        <v>50000.0</v>
      </c>
      <c r="I106" s="29" t="s">
        <v>357</v>
      </c>
      <c r="J106" s="29" t="str">
        <f t="shared" si="48"/>
        <v>q/805 * $50000</v>
      </c>
      <c r="K106" s="74">
        <f t="shared" si="49"/>
        <v>12500</v>
      </c>
      <c r="L106" s="29" t="s">
        <v>358</v>
      </c>
      <c r="M106" s="74">
        <f t="shared" si="50"/>
        <v>65000</v>
      </c>
    </row>
    <row r="107">
      <c r="A107" s="37" t="s">
        <v>142</v>
      </c>
      <c r="B107" s="6" t="s">
        <v>143</v>
      </c>
      <c r="C107" s="76">
        <v>2009.0</v>
      </c>
      <c r="D107" s="29">
        <v>800.0</v>
      </c>
      <c r="E107" s="29"/>
      <c r="F107" s="29">
        <v>75.0</v>
      </c>
      <c r="G107" s="48">
        <f t="shared" si="47"/>
        <v>875</v>
      </c>
      <c r="H107" s="73">
        <v>70000.0</v>
      </c>
      <c r="I107" s="29" t="s">
        <v>357</v>
      </c>
      <c r="J107" s="29" t="str">
        <f t="shared" si="48"/>
        <v>q/875 * $70000</v>
      </c>
      <c r="K107" s="74">
        <f t="shared" si="49"/>
        <v>17500</v>
      </c>
      <c r="L107" s="29" t="s">
        <v>358</v>
      </c>
      <c r="M107" s="74">
        <f t="shared" si="50"/>
        <v>85000</v>
      </c>
    </row>
    <row r="108">
      <c r="A108" s="37" t="s">
        <v>142</v>
      </c>
      <c r="B108" s="6" t="s">
        <v>143</v>
      </c>
      <c r="C108" s="76">
        <v>2010.0</v>
      </c>
      <c r="D108" s="29">
        <v>850.0</v>
      </c>
      <c r="E108" s="29"/>
      <c r="F108" s="29">
        <v>70.0</v>
      </c>
      <c r="G108" s="48">
        <f t="shared" si="47"/>
        <v>920</v>
      </c>
      <c r="H108" s="73">
        <v>100000.0</v>
      </c>
      <c r="I108" s="29" t="s">
        <v>357</v>
      </c>
      <c r="J108" s="29" t="str">
        <f t="shared" si="48"/>
        <v>q/920 * $100000</v>
      </c>
      <c r="K108" s="74">
        <f t="shared" si="49"/>
        <v>25000</v>
      </c>
      <c r="L108" s="29" t="s">
        <v>358</v>
      </c>
      <c r="M108" s="74">
        <f t="shared" si="50"/>
        <v>115000</v>
      </c>
    </row>
    <row r="109">
      <c r="A109" s="37" t="s">
        <v>142</v>
      </c>
      <c r="B109" s="6" t="s">
        <v>143</v>
      </c>
      <c r="C109" s="76">
        <v>2011.0</v>
      </c>
      <c r="D109" s="29">
        <v>900.0</v>
      </c>
      <c r="E109" s="29"/>
      <c r="F109" s="29">
        <v>30.0</v>
      </c>
      <c r="G109" s="48">
        <f t="shared" si="47"/>
        <v>930</v>
      </c>
      <c r="H109" s="73">
        <v>100000.0</v>
      </c>
      <c r="I109" s="29" t="s">
        <v>357</v>
      </c>
      <c r="J109" s="29" t="str">
        <f t="shared" si="48"/>
        <v>q/930 * $100000</v>
      </c>
      <c r="K109" s="74">
        <f t="shared" si="49"/>
        <v>25000</v>
      </c>
      <c r="L109" s="29" t="s">
        <v>358</v>
      </c>
      <c r="M109" s="74">
        <f t="shared" si="50"/>
        <v>115000</v>
      </c>
    </row>
    <row r="110">
      <c r="A110" s="37" t="s">
        <v>142</v>
      </c>
      <c r="B110" s="6" t="s">
        <v>143</v>
      </c>
      <c r="C110" s="76">
        <v>2012.0</v>
      </c>
      <c r="D110" s="29">
        <v>900.0</v>
      </c>
      <c r="E110" s="29"/>
      <c r="F110" s="29">
        <v>30.0</v>
      </c>
      <c r="G110" s="48">
        <f t="shared" si="47"/>
        <v>930</v>
      </c>
      <c r="H110" s="73">
        <v>100000.0</v>
      </c>
      <c r="I110" s="29" t="s">
        <v>357</v>
      </c>
      <c r="J110" s="29" t="str">
        <f t="shared" si="48"/>
        <v>q/930 * $100000</v>
      </c>
      <c r="K110" s="74">
        <f t="shared" si="49"/>
        <v>25000</v>
      </c>
      <c r="L110" s="29" t="s">
        <v>359</v>
      </c>
      <c r="M110" s="74">
        <f t="shared" ref="M110:M114" si="51">H110*(1.1)</f>
        <v>110000</v>
      </c>
    </row>
    <row r="111">
      <c r="A111" s="37" t="s">
        <v>142</v>
      </c>
      <c r="B111" s="6" t="s">
        <v>143</v>
      </c>
      <c r="C111" s="76">
        <v>2013.0</v>
      </c>
      <c r="D111" s="29">
        <v>900.0</v>
      </c>
      <c r="E111" s="29"/>
      <c r="F111" s="29">
        <v>30.0</v>
      </c>
      <c r="G111" s="48">
        <f t="shared" si="47"/>
        <v>930</v>
      </c>
      <c r="H111" s="73">
        <v>100000.0</v>
      </c>
      <c r="I111" s="29" t="s">
        <v>357</v>
      </c>
      <c r="J111" s="29" t="str">
        <f t="shared" si="48"/>
        <v>q/930 * $100000</v>
      </c>
      <c r="K111" s="74">
        <f t="shared" si="49"/>
        <v>25000</v>
      </c>
      <c r="L111" s="29" t="s">
        <v>359</v>
      </c>
      <c r="M111" s="74">
        <f t="shared" si="51"/>
        <v>110000</v>
      </c>
    </row>
    <row r="112">
      <c r="A112" s="37" t="s">
        <v>142</v>
      </c>
      <c r="B112" s="6" t="s">
        <v>143</v>
      </c>
      <c r="C112" s="76">
        <v>2014.0</v>
      </c>
      <c r="D112" s="29">
        <v>900.0</v>
      </c>
      <c r="E112" s="29"/>
      <c r="F112" s="29">
        <v>30.0</v>
      </c>
      <c r="G112" s="48">
        <f t="shared" si="47"/>
        <v>930</v>
      </c>
      <c r="H112" s="73">
        <v>100000.0</v>
      </c>
      <c r="I112" s="29" t="s">
        <v>357</v>
      </c>
      <c r="J112" s="29" t="str">
        <f t="shared" si="48"/>
        <v>q/930 * $100000</v>
      </c>
      <c r="K112" s="74">
        <f t="shared" si="49"/>
        <v>25000</v>
      </c>
      <c r="L112" s="29" t="s">
        <v>359</v>
      </c>
      <c r="M112" s="74">
        <f t="shared" si="51"/>
        <v>110000</v>
      </c>
    </row>
    <row r="113">
      <c r="A113" s="37" t="s">
        <v>142</v>
      </c>
      <c r="B113" s="6" t="s">
        <v>143</v>
      </c>
      <c r="C113" s="76">
        <v>2015.0</v>
      </c>
      <c r="D113" s="29">
        <v>900.0</v>
      </c>
      <c r="E113" s="29"/>
      <c r="F113" s="29">
        <v>30.0</v>
      </c>
      <c r="G113" s="48">
        <f t="shared" si="47"/>
        <v>930</v>
      </c>
      <c r="H113" s="73">
        <v>100000.0</v>
      </c>
      <c r="I113" s="29" t="s">
        <v>357</v>
      </c>
      <c r="J113" s="29" t="str">
        <f t="shared" si="48"/>
        <v>q/930 * $100000</v>
      </c>
      <c r="K113" s="74">
        <f t="shared" si="49"/>
        <v>25000</v>
      </c>
      <c r="L113" s="29" t="s">
        <v>359</v>
      </c>
      <c r="M113" s="74">
        <f t="shared" si="51"/>
        <v>110000</v>
      </c>
    </row>
    <row r="114">
      <c r="A114" s="37" t="s">
        <v>142</v>
      </c>
      <c r="B114" s="6" t="s">
        <v>143</v>
      </c>
      <c r="C114" s="76">
        <v>2016.0</v>
      </c>
      <c r="D114" s="29">
        <v>900.0</v>
      </c>
      <c r="E114" s="29"/>
      <c r="F114" s="29">
        <v>30.0</v>
      </c>
      <c r="G114" s="48">
        <f t="shared" si="47"/>
        <v>930</v>
      </c>
      <c r="H114" s="73">
        <v>100000.0</v>
      </c>
      <c r="I114" s="29" t="s">
        <v>357</v>
      </c>
      <c r="J114" s="29" t="str">
        <f t="shared" si="48"/>
        <v>q/930 * $100000</v>
      </c>
      <c r="K114" s="74">
        <f t="shared" si="49"/>
        <v>25000</v>
      </c>
      <c r="L114" s="29" t="s">
        <v>359</v>
      </c>
      <c r="M114" s="74">
        <f t="shared" si="51"/>
        <v>110000</v>
      </c>
    </row>
    <row r="115">
      <c r="A115" s="37" t="s">
        <v>142</v>
      </c>
      <c r="B115" s="6" t="s">
        <v>143</v>
      </c>
      <c r="C115" s="76">
        <v>2017.0</v>
      </c>
      <c r="D115" s="29">
        <v>900.0</v>
      </c>
      <c r="E115" s="29"/>
      <c r="F115" s="29">
        <v>17.0</v>
      </c>
      <c r="G115" s="48">
        <f t="shared" si="47"/>
        <v>917</v>
      </c>
      <c r="H115" s="73">
        <v>100000.0</v>
      </c>
      <c r="I115" s="29" t="s">
        <v>360</v>
      </c>
      <c r="J115" s="29" t="str">
        <f t="shared" si="48"/>
        <v>q/917 * $100000</v>
      </c>
      <c r="K115" s="74">
        <f t="shared" ref="K115:K119" si="52">H115*(2/3)</f>
        <v>66666.66667</v>
      </c>
      <c r="L115" s="29" t="s">
        <v>361</v>
      </c>
      <c r="M115" s="74">
        <f t="shared" ref="M115:M119" si="53">H115*(1.2)</f>
        <v>120000</v>
      </c>
    </row>
    <row r="116">
      <c r="A116" s="37" t="s">
        <v>142</v>
      </c>
      <c r="B116" s="6" t="s">
        <v>143</v>
      </c>
      <c r="C116" s="76" t="s">
        <v>255</v>
      </c>
      <c r="D116" s="29">
        <v>900.0</v>
      </c>
      <c r="E116" s="29"/>
      <c r="F116" s="29">
        <v>17.0</v>
      </c>
      <c r="G116" s="48">
        <f t="shared" si="47"/>
        <v>917</v>
      </c>
      <c r="H116" s="73">
        <v>100000.0</v>
      </c>
      <c r="I116" s="29" t="s">
        <v>360</v>
      </c>
      <c r="J116" s="29" t="str">
        <f t="shared" si="48"/>
        <v>q/917 * $100000</v>
      </c>
      <c r="K116" s="74">
        <f t="shared" si="52"/>
        <v>66666.66667</v>
      </c>
      <c r="L116" s="29" t="s">
        <v>361</v>
      </c>
      <c r="M116" s="74">
        <f t="shared" si="53"/>
        <v>120000</v>
      </c>
    </row>
    <row r="117">
      <c r="A117" s="37" t="s">
        <v>142</v>
      </c>
      <c r="B117" s="6" t="s">
        <v>143</v>
      </c>
      <c r="C117" s="76" t="s">
        <v>256</v>
      </c>
      <c r="D117" s="29">
        <v>900.0</v>
      </c>
      <c r="E117" s="29"/>
      <c r="F117" s="29">
        <v>17.0</v>
      </c>
      <c r="G117" s="48">
        <f t="shared" si="47"/>
        <v>917</v>
      </c>
      <c r="H117" s="73">
        <v>100000.0</v>
      </c>
      <c r="I117" s="29" t="s">
        <v>360</v>
      </c>
      <c r="J117" s="29" t="str">
        <f t="shared" si="48"/>
        <v>q/917 * $100000</v>
      </c>
      <c r="K117" s="74">
        <f t="shared" si="52"/>
        <v>66666.66667</v>
      </c>
      <c r="L117" s="29" t="s">
        <v>361</v>
      </c>
      <c r="M117" s="74">
        <f t="shared" si="53"/>
        <v>120000</v>
      </c>
    </row>
    <row r="118">
      <c r="A118" s="37" t="s">
        <v>142</v>
      </c>
      <c r="B118" s="6" t="s">
        <v>143</v>
      </c>
      <c r="C118" s="76" t="s">
        <v>257</v>
      </c>
      <c r="D118" s="29">
        <v>900.0</v>
      </c>
      <c r="E118" s="29"/>
      <c r="F118" s="29">
        <v>17.0</v>
      </c>
      <c r="G118" s="48">
        <f t="shared" si="47"/>
        <v>917</v>
      </c>
      <c r="H118" s="73">
        <v>100000.0</v>
      </c>
      <c r="I118" s="29" t="s">
        <v>360</v>
      </c>
      <c r="J118" s="29" t="str">
        <f t="shared" si="48"/>
        <v>q/917 * $100000</v>
      </c>
      <c r="K118" s="74">
        <f t="shared" si="52"/>
        <v>66666.66667</v>
      </c>
      <c r="L118" s="29" t="s">
        <v>361</v>
      </c>
      <c r="M118" s="74">
        <f t="shared" si="53"/>
        <v>120000</v>
      </c>
    </row>
    <row r="119">
      <c r="A119" s="37" t="s">
        <v>142</v>
      </c>
      <c r="B119" s="6" t="s">
        <v>143</v>
      </c>
      <c r="C119" s="76" t="s">
        <v>260</v>
      </c>
      <c r="D119" s="29">
        <v>900.0</v>
      </c>
      <c r="E119" s="29"/>
      <c r="F119" s="29">
        <v>17.0</v>
      </c>
      <c r="G119" s="48">
        <f t="shared" si="47"/>
        <v>917</v>
      </c>
      <c r="H119" s="73">
        <v>100000.0</v>
      </c>
      <c r="I119" s="29" t="s">
        <v>360</v>
      </c>
      <c r="J119" s="29" t="str">
        <f t="shared" si="48"/>
        <v>q/917 * $100000</v>
      </c>
      <c r="K119" s="74">
        <f t="shared" si="52"/>
        <v>66666.66667</v>
      </c>
      <c r="L119" s="29" t="s">
        <v>361</v>
      </c>
      <c r="M119" s="74">
        <f t="shared" si="53"/>
        <v>120000</v>
      </c>
    </row>
    <row r="120">
      <c r="A120" s="44"/>
      <c r="B120" s="46"/>
      <c r="C120" s="77"/>
      <c r="D120" s="92"/>
      <c r="E120" s="92"/>
      <c r="F120" s="92"/>
      <c r="G120" s="44"/>
      <c r="H120" s="91"/>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row>
    <row r="121">
      <c r="A121" s="37" t="s">
        <v>151</v>
      </c>
      <c r="B121" s="7" t="s">
        <v>152</v>
      </c>
      <c r="C121" s="76">
        <v>2011.0</v>
      </c>
      <c r="D121" s="29">
        <v>750.0</v>
      </c>
      <c r="E121" s="29"/>
      <c r="F121" s="29">
        <v>50.0</v>
      </c>
      <c r="G121" s="48">
        <f t="shared" ref="G121:G130" si="54">sum(D121:F121)</f>
        <v>800</v>
      </c>
      <c r="H121" s="73">
        <v>50000.0</v>
      </c>
      <c r="I121" s="29" t="s">
        <v>362</v>
      </c>
      <c r="J121" s="29" t="str">
        <f t="shared" ref="J121:J130" si="55">concatenate("q", "/", G121, " * $", H121)</f>
        <v>q/800 * $50000</v>
      </c>
      <c r="K121" s="74">
        <f t="shared" ref="K121:K125" si="56">H121*(2/3)</f>
        <v>33333.33333</v>
      </c>
      <c r="L121" s="29" t="s">
        <v>363</v>
      </c>
      <c r="M121" s="74">
        <f t="shared" ref="M121:M125" si="57">H121*(1.1)</f>
        <v>55000</v>
      </c>
    </row>
    <row r="122">
      <c r="A122" s="37" t="s">
        <v>151</v>
      </c>
      <c r="B122" s="7" t="s">
        <v>152</v>
      </c>
      <c r="C122" s="76">
        <v>2012.0</v>
      </c>
      <c r="D122" s="29">
        <v>1250.0</v>
      </c>
      <c r="E122" s="29"/>
      <c r="F122" s="29">
        <v>65.0</v>
      </c>
      <c r="G122" s="48">
        <f t="shared" si="54"/>
        <v>1315</v>
      </c>
      <c r="H122" s="73">
        <v>60000.0</v>
      </c>
      <c r="I122" s="29" t="s">
        <v>362</v>
      </c>
      <c r="J122" s="29" t="str">
        <f t="shared" si="55"/>
        <v>q/1315 * $60000</v>
      </c>
      <c r="K122" s="74">
        <f t="shared" si="56"/>
        <v>40000</v>
      </c>
      <c r="L122" s="29" t="s">
        <v>363</v>
      </c>
      <c r="M122" s="74">
        <f t="shared" si="57"/>
        <v>66000</v>
      </c>
    </row>
    <row r="123">
      <c r="A123" s="37" t="s">
        <v>151</v>
      </c>
      <c r="B123" s="7" t="s">
        <v>152</v>
      </c>
      <c r="C123" s="76">
        <v>2013.0</v>
      </c>
      <c r="D123" s="29">
        <v>1350.0</v>
      </c>
      <c r="E123" s="29"/>
      <c r="F123" s="29">
        <v>65.0</v>
      </c>
      <c r="G123" s="48">
        <f t="shared" si="54"/>
        <v>1415</v>
      </c>
      <c r="H123" s="73">
        <v>70000.0</v>
      </c>
      <c r="I123" s="29" t="s">
        <v>362</v>
      </c>
      <c r="J123" s="29" t="str">
        <f t="shared" si="55"/>
        <v>q/1415 * $70000</v>
      </c>
      <c r="K123" s="74">
        <f t="shared" si="56"/>
        <v>46666.66667</v>
      </c>
      <c r="L123" s="29" t="s">
        <v>363</v>
      </c>
      <c r="M123" s="74">
        <f t="shared" si="57"/>
        <v>77000</v>
      </c>
    </row>
    <row r="124">
      <c r="A124" s="37" t="s">
        <v>151</v>
      </c>
      <c r="B124" s="7" t="s">
        <v>152</v>
      </c>
      <c r="C124" s="76">
        <v>2014.0</v>
      </c>
      <c r="D124" s="29">
        <v>1350.0</v>
      </c>
      <c r="E124" s="29"/>
      <c r="F124" s="29">
        <v>65.0</v>
      </c>
      <c r="G124" s="48">
        <f t="shared" si="54"/>
        <v>1415</v>
      </c>
      <c r="H124" s="73">
        <v>85000.0</v>
      </c>
      <c r="I124" s="29" t="s">
        <v>362</v>
      </c>
      <c r="J124" s="29" t="str">
        <f t="shared" si="55"/>
        <v>q/1415 * $85000</v>
      </c>
      <c r="K124" s="74">
        <f t="shared" si="56"/>
        <v>56666.66667</v>
      </c>
      <c r="L124" s="29" t="s">
        <v>363</v>
      </c>
      <c r="M124" s="74">
        <f t="shared" si="57"/>
        <v>93500</v>
      </c>
    </row>
    <row r="125">
      <c r="A125" s="37" t="s">
        <v>151</v>
      </c>
      <c r="B125" s="7" t="s">
        <v>152</v>
      </c>
      <c r="C125" s="76">
        <v>2015.0</v>
      </c>
      <c r="D125" s="29">
        <v>1350.0</v>
      </c>
      <c r="E125" s="29"/>
      <c r="F125" s="29">
        <v>65.0</v>
      </c>
      <c r="G125" s="48">
        <f t="shared" si="54"/>
        <v>1415</v>
      </c>
      <c r="H125" s="73">
        <v>85000.0</v>
      </c>
      <c r="I125" s="29" t="s">
        <v>362</v>
      </c>
      <c r="J125" s="29" t="str">
        <f t="shared" si="55"/>
        <v>q/1415 * $85000</v>
      </c>
      <c r="K125" s="74">
        <f t="shared" si="56"/>
        <v>56666.66667</v>
      </c>
      <c r="L125" s="29" t="s">
        <v>363</v>
      </c>
      <c r="M125" s="74">
        <f t="shared" si="57"/>
        <v>93500</v>
      </c>
    </row>
    <row r="126">
      <c r="A126" s="37" t="s">
        <v>151</v>
      </c>
      <c r="B126" s="7" t="s">
        <v>152</v>
      </c>
      <c r="C126" s="76">
        <v>2016.0</v>
      </c>
      <c r="D126" s="29">
        <v>900.0</v>
      </c>
      <c r="E126" s="29"/>
      <c r="F126" s="29">
        <v>25.0</v>
      </c>
      <c r="G126" s="48">
        <f t="shared" si="54"/>
        <v>925</v>
      </c>
      <c r="H126" s="73">
        <v>50000.0</v>
      </c>
      <c r="I126" s="29" t="s">
        <v>364</v>
      </c>
      <c r="J126" s="29" t="str">
        <f t="shared" si="55"/>
        <v>q/925 * $50000</v>
      </c>
      <c r="K126" s="74">
        <f t="shared" ref="K126:K130" si="58">H126*0.75</f>
        <v>37500</v>
      </c>
      <c r="L126" s="29" t="s">
        <v>365</v>
      </c>
      <c r="M126" s="74">
        <f t="shared" ref="M126:M130" si="59">H126*(1.2)</f>
        <v>60000</v>
      </c>
    </row>
    <row r="127">
      <c r="A127" s="37" t="s">
        <v>151</v>
      </c>
      <c r="B127" s="7" t="s">
        <v>152</v>
      </c>
      <c r="C127" s="76">
        <v>2017.0</v>
      </c>
      <c r="D127" s="29">
        <v>1025.0</v>
      </c>
      <c r="E127" s="29"/>
      <c r="F127" s="29">
        <v>25.0</v>
      </c>
      <c r="G127" s="48">
        <f t="shared" si="54"/>
        <v>1050</v>
      </c>
      <c r="H127" s="73">
        <v>55000.0</v>
      </c>
      <c r="I127" s="29" t="s">
        <v>364</v>
      </c>
      <c r="J127" s="29" t="str">
        <f t="shared" si="55"/>
        <v>q/1050 * $55000</v>
      </c>
      <c r="K127" s="74">
        <f t="shared" si="58"/>
        <v>41250</v>
      </c>
      <c r="L127" s="29" t="s">
        <v>365</v>
      </c>
      <c r="M127" s="74">
        <f t="shared" si="59"/>
        <v>66000</v>
      </c>
    </row>
    <row r="128">
      <c r="A128" s="37" t="s">
        <v>151</v>
      </c>
      <c r="B128" s="7" t="s">
        <v>152</v>
      </c>
      <c r="C128" s="76" t="s">
        <v>255</v>
      </c>
      <c r="D128" s="29">
        <v>1125.0</v>
      </c>
      <c r="E128" s="29"/>
      <c r="F128" s="29">
        <v>25.0</v>
      </c>
      <c r="G128" s="48">
        <f t="shared" si="54"/>
        <v>1150</v>
      </c>
      <c r="H128" s="73">
        <v>60000.0</v>
      </c>
      <c r="I128" s="29" t="s">
        <v>364</v>
      </c>
      <c r="J128" s="29" t="str">
        <f t="shared" si="55"/>
        <v>q/1150 * $60000</v>
      </c>
      <c r="K128" s="74">
        <f t="shared" si="58"/>
        <v>45000</v>
      </c>
      <c r="L128" s="29" t="s">
        <v>365</v>
      </c>
      <c r="M128" s="74">
        <f t="shared" si="59"/>
        <v>72000</v>
      </c>
    </row>
    <row r="129">
      <c r="A129" s="37" t="s">
        <v>151</v>
      </c>
      <c r="B129" s="7" t="s">
        <v>152</v>
      </c>
      <c r="C129" s="76" t="s">
        <v>256</v>
      </c>
      <c r="D129" s="29">
        <v>1250.0</v>
      </c>
      <c r="E129" s="29"/>
      <c r="F129" s="29">
        <v>25.0</v>
      </c>
      <c r="G129" s="48">
        <f t="shared" si="54"/>
        <v>1275</v>
      </c>
      <c r="H129" s="73">
        <v>65000.0</v>
      </c>
      <c r="I129" s="29" t="s">
        <v>364</v>
      </c>
      <c r="J129" s="29" t="str">
        <f t="shared" si="55"/>
        <v>q/1275 * $65000</v>
      </c>
      <c r="K129" s="74">
        <f t="shared" si="58"/>
        <v>48750</v>
      </c>
      <c r="L129" s="29" t="s">
        <v>365</v>
      </c>
      <c r="M129" s="74">
        <f t="shared" si="59"/>
        <v>78000</v>
      </c>
    </row>
    <row r="130">
      <c r="A130" s="37" t="s">
        <v>151</v>
      </c>
      <c r="B130" s="7" t="s">
        <v>152</v>
      </c>
      <c r="C130" s="76" t="s">
        <v>257</v>
      </c>
      <c r="D130" s="29">
        <v>1250.0</v>
      </c>
      <c r="E130" s="29"/>
      <c r="F130" s="29">
        <v>25.0</v>
      </c>
      <c r="G130" s="48">
        <f t="shared" si="54"/>
        <v>1275</v>
      </c>
      <c r="H130" s="73">
        <v>65000.0</v>
      </c>
      <c r="I130" s="29" t="s">
        <v>364</v>
      </c>
      <c r="J130" s="29" t="str">
        <f t="shared" si="55"/>
        <v>q/1275 * $65000</v>
      </c>
      <c r="K130" s="74">
        <f t="shared" si="58"/>
        <v>48750</v>
      </c>
      <c r="L130" s="29" t="s">
        <v>365</v>
      </c>
      <c r="M130" s="74">
        <f t="shared" si="59"/>
        <v>78000</v>
      </c>
    </row>
    <row r="131">
      <c r="A131" s="44"/>
      <c r="B131" s="46"/>
      <c r="C131" s="77"/>
      <c r="D131" s="92"/>
      <c r="E131" s="92"/>
      <c r="F131" s="92"/>
      <c r="G131" s="44"/>
      <c r="H131" s="91"/>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row>
    <row r="132">
      <c r="A132" s="37" t="s">
        <v>154</v>
      </c>
      <c r="B132" s="7" t="s">
        <v>155</v>
      </c>
      <c r="C132" s="103">
        <v>2011.0</v>
      </c>
      <c r="D132" s="29">
        <v>2000.0</v>
      </c>
      <c r="E132" s="29"/>
      <c r="F132" s="29">
        <v>60.0</v>
      </c>
      <c r="G132" s="40">
        <f t="shared" ref="G132:G142" si="60">sum(D132:F132)</f>
        <v>2060</v>
      </c>
      <c r="H132" s="73">
        <v>80000.0</v>
      </c>
      <c r="I132" s="29" t="s">
        <v>366</v>
      </c>
      <c r="J132" s="29" t="str">
        <f t="shared" ref="J132:J142" si="61">concatenate("q", "/", G132, " * $", H132)</f>
        <v>q/2060 * $80000</v>
      </c>
      <c r="K132" s="74">
        <f t="shared" ref="K132:K133" si="62">H132*(2/3)</f>
        <v>53333.33333</v>
      </c>
      <c r="L132" s="29" t="s">
        <v>367</v>
      </c>
      <c r="M132" s="74">
        <f t="shared" ref="M132:M135" si="63">H132*(1.2)</f>
        <v>96000</v>
      </c>
    </row>
    <row r="133">
      <c r="A133" s="37" t="s">
        <v>154</v>
      </c>
      <c r="B133" s="7" t="s">
        <v>155</v>
      </c>
      <c r="C133" s="103">
        <v>2012.0</v>
      </c>
      <c r="D133" s="29">
        <v>2700.0</v>
      </c>
      <c r="E133" s="29"/>
      <c r="F133" s="29">
        <v>180.0</v>
      </c>
      <c r="G133" s="40">
        <f t="shared" si="60"/>
        <v>2880</v>
      </c>
      <c r="H133" s="73">
        <v>100000.0</v>
      </c>
      <c r="I133" s="29" t="s">
        <v>366</v>
      </c>
      <c r="J133" s="29" t="str">
        <f t="shared" si="61"/>
        <v>q/2880 * $100000</v>
      </c>
      <c r="K133" s="74">
        <f t="shared" si="62"/>
        <v>66666.66667</v>
      </c>
      <c r="L133" s="29" t="s">
        <v>367</v>
      </c>
      <c r="M133" s="74">
        <f t="shared" si="63"/>
        <v>120000</v>
      </c>
    </row>
    <row r="134">
      <c r="A134" s="37" t="s">
        <v>154</v>
      </c>
      <c r="B134" s="7" t="s">
        <v>155</v>
      </c>
      <c r="C134" s="103">
        <v>2013.0</v>
      </c>
      <c r="D134" s="29">
        <v>2800.0</v>
      </c>
      <c r="E134" s="29"/>
      <c r="F134" s="29">
        <v>140.0</v>
      </c>
      <c r="G134" s="40">
        <f t="shared" si="60"/>
        <v>2940</v>
      </c>
      <c r="H134" s="73">
        <v>100000.0</v>
      </c>
      <c r="I134" s="29" t="s">
        <v>366</v>
      </c>
      <c r="J134" s="29" t="str">
        <f t="shared" si="61"/>
        <v>q/2940 * $100000</v>
      </c>
      <c r="K134" s="164">
        <f t="shared" ref="K134:K135" si="64">H134*0.5</f>
        <v>50000</v>
      </c>
      <c r="L134" s="29" t="s">
        <v>367</v>
      </c>
      <c r="M134" s="74">
        <f t="shared" si="63"/>
        <v>120000</v>
      </c>
    </row>
    <row r="135">
      <c r="A135" s="37" t="s">
        <v>154</v>
      </c>
      <c r="B135" s="7" t="s">
        <v>155</v>
      </c>
      <c r="C135" s="103">
        <v>2014.0</v>
      </c>
      <c r="D135" s="29">
        <v>2332.0</v>
      </c>
      <c r="E135" s="29"/>
      <c r="F135" s="29">
        <v>125.0</v>
      </c>
      <c r="G135" s="40">
        <f t="shared" si="60"/>
        <v>2457</v>
      </c>
      <c r="H135" s="73">
        <v>83330.0</v>
      </c>
      <c r="I135" s="29" t="s">
        <v>366</v>
      </c>
      <c r="J135" s="29" t="str">
        <f t="shared" si="61"/>
        <v>q/2457 * $83330</v>
      </c>
      <c r="K135" s="164">
        <f t="shared" si="64"/>
        <v>41665</v>
      </c>
      <c r="L135" s="29" t="s">
        <v>367</v>
      </c>
      <c r="M135" s="74">
        <f t="shared" si="63"/>
        <v>99996</v>
      </c>
    </row>
    <row r="136">
      <c r="A136" s="37" t="s">
        <v>154</v>
      </c>
      <c r="B136" s="7" t="s">
        <v>155</v>
      </c>
      <c r="C136" s="103">
        <v>2015.0</v>
      </c>
      <c r="D136" s="29">
        <v>2332.0</v>
      </c>
      <c r="E136" s="29"/>
      <c r="F136" s="29">
        <v>125.0</v>
      </c>
      <c r="G136" s="40">
        <f t="shared" si="60"/>
        <v>2457</v>
      </c>
      <c r="H136" s="73">
        <v>74997.0</v>
      </c>
      <c r="I136" s="29" t="s">
        <v>366</v>
      </c>
      <c r="J136" s="29" t="str">
        <f t="shared" si="61"/>
        <v>q/2457 * $74997</v>
      </c>
      <c r="K136" s="164">
        <f t="shared" ref="K136:K138" si="65">H136*(1/3)</f>
        <v>24999</v>
      </c>
      <c r="L136" s="29" t="s">
        <v>368</v>
      </c>
      <c r="M136" s="74">
        <f t="shared" ref="M136:M142" si="66">H136*(1.25)</f>
        <v>93746.25</v>
      </c>
    </row>
    <row r="137">
      <c r="A137" s="37" t="s">
        <v>154</v>
      </c>
      <c r="B137" s="7" t="s">
        <v>155</v>
      </c>
      <c r="C137" s="103">
        <v>2016.0</v>
      </c>
      <c r="D137" s="29">
        <v>2416.0</v>
      </c>
      <c r="E137" s="29"/>
      <c r="F137" s="29">
        <v>133.0</v>
      </c>
      <c r="G137" s="40">
        <f t="shared" si="60"/>
        <v>2549</v>
      </c>
      <c r="H137" s="73">
        <v>81247.0</v>
      </c>
      <c r="I137" s="29" t="s">
        <v>366</v>
      </c>
      <c r="J137" s="29" t="str">
        <f t="shared" si="61"/>
        <v>q/2549 * $81247</v>
      </c>
      <c r="K137" s="164">
        <f t="shared" si="65"/>
        <v>27082.33333</v>
      </c>
      <c r="L137" s="29" t="s">
        <v>368</v>
      </c>
      <c r="M137" s="74">
        <f t="shared" si="66"/>
        <v>101558.75</v>
      </c>
    </row>
    <row r="138">
      <c r="A138" s="37" t="s">
        <v>154</v>
      </c>
      <c r="B138" s="7" t="s">
        <v>155</v>
      </c>
      <c r="C138" s="103">
        <v>2017.0</v>
      </c>
      <c r="D138" s="29">
        <v>2582.0</v>
      </c>
      <c r="E138" s="29"/>
      <c r="F138" s="29">
        <v>133.0</v>
      </c>
      <c r="G138" s="40">
        <f t="shared" si="60"/>
        <v>2715</v>
      </c>
      <c r="H138" s="73">
        <v>87497.0</v>
      </c>
      <c r="I138" s="29" t="s">
        <v>366</v>
      </c>
      <c r="J138" s="29" t="str">
        <f t="shared" si="61"/>
        <v>q/2715 * $87497</v>
      </c>
      <c r="K138" s="164">
        <f t="shared" si="65"/>
        <v>29165.66667</v>
      </c>
      <c r="L138" s="29" t="s">
        <v>368</v>
      </c>
      <c r="M138" s="74">
        <f t="shared" si="66"/>
        <v>109371.25</v>
      </c>
    </row>
    <row r="139">
      <c r="A139" s="37" t="s">
        <v>154</v>
      </c>
      <c r="B139" s="7" t="s">
        <v>155</v>
      </c>
      <c r="C139" s="103" t="s">
        <v>255</v>
      </c>
      <c r="D139" s="29">
        <v>2832.0</v>
      </c>
      <c r="E139" s="29"/>
      <c r="F139" s="29">
        <v>142.0</v>
      </c>
      <c r="G139" s="40">
        <f t="shared" si="60"/>
        <v>2974</v>
      </c>
      <c r="H139" s="73">
        <v>116662.0</v>
      </c>
      <c r="I139" s="29" t="s">
        <v>366</v>
      </c>
      <c r="J139" s="29" t="str">
        <f t="shared" si="61"/>
        <v>q/2974 * $116662</v>
      </c>
      <c r="K139" s="164">
        <f t="shared" ref="K139:K142" si="67">H139*0.5</f>
        <v>58331</v>
      </c>
      <c r="L139" s="29" t="s">
        <v>368</v>
      </c>
      <c r="M139" s="74">
        <f t="shared" si="66"/>
        <v>145827.5</v>
      </c>
    </row>
    <row r="140">
      <c r="A140" s="37" t="s">
        <v>154</v>
      </c>
      <c r="B140" s="7" t="s">
        <v>155</v>
      </c>
      <c r="C140" s="103" t="s">
        <v>256</v>
      </c>
      <c r="D140" s="29">
        <v>3082.0</v>
      </c>
      <c r="E140" s="29"/>
      <c r="F140" s="29">
        <v>142.0</v>
      </c>
      <c r="G140" s="40">
        <f t="shared" si="60"/>
        <v>3224</v>
      </c>
      <c r="H140" s="73">
        <v>129162.0</v>
      </c>
      <c r="I140" s="29" t="s">
        <v>366</v>
      </c>
      <c r="J140" s="29" t="str">
        <f t="shared" si="61"/>
        <v>q/3224 * $129162</v>
      </c>
      <c r="K140" s="164">
        <f t="shared" si="67"/>
        <v>64581</v>
      </c>
      <c r="L140" s="29" t="s">
        <v>368</v>
      </c>
      <c r="M140" s="74">
        <f t="shared" si="66"/>
        <v>161452.5</v>
      </c>
    </row>
    <row r="141">
      <c r="A141" s="37" t="s">
        <v>154</v>
      </c>
      <c r="B141" s="7" t="s">
        <v>155</v>
      </c>
      <c r="C141" s="103" t="s">
        <v>257</v>
      </c>
      <c r="D141" s="29">
        <v>3082.0</v>
      </c>
      <c r="E141" s="29"/>
      <c r="F141" s="29">
        <v>142.0</v>
      </c>
      <c r="G141" s="40">
        <f t="shared" si="60"/>
        <v>3224</v>
      </c>
      <c r="H141" s="73">
        <v>129162.0</v>
      </c>
      <c r="I141" s="29" t="s">
        <v>366</v>
      </c>
      <c r="J141" s="29" t="str">
        <f t="shared" si="61"/>
        <v>q/3224 * $129162</v>
      </c>
      <c r="K141" s="164">
        <f t="shared" si="67"/>
        <v>64581</v>
      </c>
      <c r="L141" s="29" t="s">
        <v>368</v>
      </c>
      <c r="M141" s="74">
        <f t="shared" si="66"/>
        <v>161452.5</v>
      </c>
    </row>
    <row r="142">
      <c r="A142" s="37" t="s">
        <v>154</v>
      </c>
      <c r="B142" s="7" t="s">
        <v>155</v>
      </c>
      <c r="C142" s="76" t="s">
        <v>260</v>
      </c>
      <c r="D142" s="29">
        <v>1666.0</v>
      </c>
      <c r="E142" s="29"/>
      <c r="F142" s="29">
        <v>50.0</v>
      </c>
      <c r="G142" s="40">
        <f t="shared" si="60"/>
        <v>1716</v>
      </c>
      <c r="H142" s="73">
        <v>66664.0</v>
      </c>
      <c r="I142" s="29" t="s">
        <v>366</v>
      </c>
      <c r="J142" s="29" t="str">
        <f t="shared" si="61"/>
        <v>q/1716 * $66664</v>
      </c>
      <c r="K142" s="164">
        <f t="shared" si="67"/>
        <v>33332</v>
      </c>
      <c r="L142" s="29" t="s">
        <v>368</v>
      </c>
      <c r="M142" s="74">
        <f t="shared" si="66"/>
        <v>83330</v>
      </c>
    </row>
    <row r="143">
      <c r="A143" s="44"/>
      <c r="B143" s="46"/>
      <c r="C143" s="77"/>
      <c r="D143" s="92"/>
      <c r="E143" s="92"/>
      <c r="F143" s="92"/>
      <c r="G143" s="44"/>
      <c r="H143" s="91"/>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row>
    <row r="144">
      <c r="A144" s="5" t="s">
        <v>157</v>
      </c>
      <c r="B144" s="27" t="s">
        <v>158</v>
      </c>
      <c r="C144" s="103">
        <v>2012.0</v>
      </c>
      <c r="D144" s="29">
        <v>3400.0</v>
      </c>
      <c r="E144" s="29"/>
      <c r="F144" s="29">
        <v>160.0</v>
      </c>
      <c r="G144" s="40">
        <f t="shared" ref="G144:G150" si="68">sum(D144:F144)</f>
        <v>3560</v>
      </c>
      <c r="H144" s="73">
        <v>82500.0</v>
      </c>
      <c r="I144" s="29" t="s">
        <v>369</v>
      </c>
      <c r="J144" s="29" t="str">
        <f t="shared" ref="J144:J150" si="69">concatenate("q", "/", G144, " * $", H144)</f>
        <v>q/3560 * $82500</v>
      </c>
      <c r="K144" s="164">
        <f t="shared" ref="K144:K150" si="70">H144*(2/3)</f>
        <v>55000</v>
      </c>
      <c r="L144" s="29" t="s">
        <v>370</v>
      </c>
      <c r="M144" s="74">
        <f t="shared" ref="M144:M150" si="71">H144*(1.2)</f>
        <v>99000</v>
      </c>
    </row>
    <row r="145">
      <c r="A145" s="5" t="s">
        <v>157</v>
      </c>
      <c r="B145" s="27" t="s">
        <v>158</v>
      </c>
      <c r="C145" s="103">
        <v>2013.0</v>
      </c>
      <c r="D145" s="29">
        <v>3500.0</v>
      </c>
      <c r="E145" s="29"/>
      <c r="F145" s="29">
        <v>160.0</v>
      </c>
      <c r="G145" s="40">
        <f t="shared" si="68"/>
        <v>3660</v>
      </c>
      <c r="H145" s="73">
        <v>82500.0</v>
      </c>
      <c r="I145" s="29" t="s">
        <v>369</v>
      </c>
      <c r="J145" s="29" t="str">
        <f t="shared" si="69"/>
        <v>q/3660 * $82500</v>
      </c>
      <c r="K145" s="164">
        <f t="shared" si="70"/>
        <v>55000</v>
      </c>
      <c r="L145" s="29" t="s">
        <v>370</v>
      </c>
      <c r="M145" s="74">
        <f t="shared" si="71"/>
        <v>99000</v>
      </c>
    </row>
    <row r="146">
      <c r="A146" s="5" t="s">
        <v>157</v>
      </c>
      <c r="B146" s="27" t="s">
        <v>158</v>
      </c>
      <c r="C146" s="103">
        <v>2014.0</v>
      </c>
      <c r="D146" s="29">
        <v>3400.0</v>
      </c>
      <c r="E146" s="29"/>
      <c r="F146" s="29">
        <v>160.0</v>
      </c>
      <c r="G146" s="40">
        <f t="shared" si="68"/>
        <v>3560</v>
      </c>
      <c r="H146" s="73">
        <v>115500.0</v>
      </c>
      <c r="I146" s="29" t="s">
        <v>369</v>
      </c>
      <c r="J146" s="29" t="str">
        <f t="shared" si="69"/>
        <v>q/3560 * $115500</v>
      </c>
      <c r="K146" s="164">
        <f t="shared" si="70"/>
        <v>77000</v>
      </c>
      <c r="L146" s="29" t="s">
        <v>370</v>
      </c>
      <c r="M146" s="74">
        <f t="shared" si="71"/>
        <v>138600</v>
      </c>
    </row>
    <row r="147">
      <c r="A147" s="5" t="s">
        <v>157</v>
      </c>
      <c r="B147" s="27" t="s">
        <v>158</v>
      </c>
      <c r="C147" s="103">
        <v>2015.0</v>
      </c>
      <c r="D147" s="29">
        <v>3400.0</v>
      </c>
      <c r="E147" s="29"/>
      <c r="F147" s="29">
        <v>160.0</v>
      </c>
      <c r="G147" s="40">
        <f t="shared" si="68"/>
        <v>3560</v>
      </c>
      <c r="H147" s="73">
        <v>115500.0</v>
      </c>
      <c r="I147" s="29" t="s">
        <v>369</v>
      </c>
      <c r="J147" s="29" t="str">
        <f t="shared" si="69"/>
        <v>q/3560 * $115500</v>
      </c>
      <c r="K147" s="164">
        <f t="shared" si="70"/>
        <v>77000</v>
      </c>
      <c r="L147" s="29" t="s">
        <v>370</v>
      </c>
      <c r="M147" s="74">
        <f t="shared" si="71"/>
        <v>138600</v>
      </c>
    </row>
    <row r="148">
      <c r="A148" s="5" t="s">
        <v>157</v>
      </c>
      <c r="B148" s="27" t="s">
        <v>158</v>
      </c>
      <c r="C148" s="103">
        <v>2016.0</v>
      </c>
      <c r="D148" s="29">
        <v>3500.0</v>
      </c>
      <c r="E148" s="29"/>
      <c r="F148" s="29">
        <v>160.0</v>
      </c>
      <c r="G148" s="40">
        <f t="shared" si="68"/>
        <v>3660</v>
      </c>
      <c r="H148" s="73">
        <v>132000.0</v>
      </c>
      <c r="I148" s="29" t="s">
        <v>369</v>
      </c>
      <c r="J148" s="29" t="str">
        <f t="shared" si="69"/>
        <v>q/3660 * $132000</v>
      </c>
      <c r="K148" s="164">
        <f t="shared" si="70"/>
        <v>88000</v>
      </c>
      <c r="L148" s="29" t="s">
        <v>370</v>
      </c>
      <c r="M148" s="74">
        <f t="shared" si="71"/>
        <v>158400</v>
      </c>
    </row>
    <row r="149">
      <c r="A149" s="5" t="s">
        <v>157</v>
      </c>
      <c r="B149" s="27" t="s">
        <v>158</v>
      </c>
      <c r="C149" s="103">
        <v>2017.0</v>
      </c>
      <c r="D149" s="29">
        <v>3500.0</v>
      </c>
      <c r="E149" s="29"/>
      <c r="F149" s="29">
        <v>160.0</v>
      </c>
      <c r="G149" s="40">
        <f t="shared" si="68"/>
        <v>3660</v>
      </c>
      <c r="H149" s="73">
        <v>132000.0</v>
      </c>
      <c r="I149" s="29" t="s">
        <v>369</v>
      </c>
      <c r="J149" s="29" t="str">
        <f t="shared" si="69"/>
        <v>q/3660 * $132000</v>
      </c>
      <c r="K149" s="164">
        <f t="shared" si="70"/>
        <v>88000</v>
      </c>
      <c r="L149" s="29" t="s">
        <v>370</v>
      </c>
      <c r="M149" s="74">
        <f t="shared" si="71"/>
        <v>158400</v>
      </c>
    </row>
    <row r="150">
      <c r="A150" s="5" t="s">
        <v>157</v>
      </c>
      <c r="B150" s="27" t="s">
        <v>158</v>
      </c>
      <c r="C150" s="103" t="s">
        <v>255</v>
      </c>
      <c r="D150" s="29">
        <v>3500.0</v>
      </c>
      <c r="E150" s="29"/>
      <c r="F150" s="29">
        <v>160.0</v>
      </c>
      <c r="G150" s="40">
        <f t="shared" si="68"/>
        <v>3660</v>
      </c>
      <c r="H150" s="73">
        <v>132000.0</v>
      </c>
      <c r="I150" s="29" t="s">
        <v>369</v>
      </c>
      <c r="J150" s="29" t="str">
        <f t="shared" si="69"/>
        <v>q/3660 * $132000</v>
      </c>
      <c r="K150" s="164">
        <f t="shared" si="70"/>
        <v>88000</v>
      </c>
      <c r="L150" s="29" t="s">
        <v>370</v>
      </c>
      <c r="M150" s="74">
        <f t="shared" si="71"/>
        <v>158400</v>
      </c>
    </row>
    <row r="151">
      <c r="A151" s="44"/>
      <c r="B151" s="46"/>
      <c r="C151" s="77"/>
      <c r="D151" s="92"/>
      <c r="E151" s="92"/>
      <c r="F151" s="92"/>
      <c r="G151" s="44"/>
      <c r="H151" s="91"/>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row>
    <row r="152">
      <c r="A152" s="37" t="s">
        <v>160</v>
      </c>
      <c r="B152" s="7" t="s">
        <v>161</v>
      </c>
      <c r="C152" s="103">
        <v>2015.0</v>
      </c>
      <c r="D152" s="29">
        <v>10000.0</v>
      </c>
      <c r="E152" s="29"/>
      <c r="F152" s="29">
        <v>500.0</v>
      </c>
      <c r="G152" s="40">
        <f t="shared" ref="G152:G158" si="72">sum(D152:F152)</f>
        <v>10500</v>
      </c>
      <c r="H152" s="73">
        <v>1000000.0</v>
      </c>
      <c r="I152" s="29" t="s">
        <v>371</v>
      </c>
      <c r="J152" s="29" t="s">
        <v>372</v>
      </c>
      <c r="K152" s="73">
        <v>1000000.0</v>
      </c>
      <c r="L152" s="29" t="s">
        <v>373</v>
      </c>
      <c r="M152" s="73">
        <v>1000000.0</v>
      </c>
      <c r="N152" s="29" t="s">
        <v>374</v>
      </c>
    </row>
    <row r="153">
      <c r="A153" s="37" t="s">
        <v>160</v>
      </c>
      <c r="B153" s="7" t="s">
        <v>161</v>
      </c>
      <c r="C153" s="103">
        <v>2016.0</v>
      </c>
      <c r="D153" s="29">
        <v>10000.0</v>
      </c>
      <c r="E153" s="29"/>
      <c r="F153" s="29">
        <v>500.0</v>
      </c>
      <c r="G153" s="40">
        <f t="shared" si="72"/>
        <v>10500</v>
      </c>
      <c r="H153" s="73">
        <v>1000000.0</v>
      </c>
      <c r="I153" s="29" t="s">
        <v>371</v>
      </c>
      <c r="J153" s="29" t="s">
        <v>372</v>
      </c>
      <c r="K153" s="73">
        <v>1000000.0</v>
      </c>
      <c r="L153" s="29" t="s">
        <v>373</v>
      </c>
      <c r="M153" s="73">
        <v>1000000.0</v>
      </c>
      <c r="N153" s="29" t="s">
        <v>374</v>
      </c>
    </row>
    <row r="154">
      <c r="A154" s="37" t="s">
        <v>160</v>
      </c>
      <c r="B154" s="7" t="s">
        <v>161</v>
      </c>
      <c r="C154" s="103">
        <v>2017.0</v>
      </c>
      <c r="D154" s="29">
        <v>10000.0</v>
      </c>
      <c r="E154" s="29"/>
      <c r="F154" s="29">
        <v>500.0</v>
      </c>
      <c r="G154" s="40">
        <f t="shared" si="72"/>
        <v>10500</v>
      </c>
      <c r="H154" s="73">
        <v>1000000.0</v>
      </c>
      <c r="I154" s="29" t="s">
        <v>371</v>
      </c>
      <c r="J154" s="29" t="str">
        <f t="shared" ref="J154:J158" si="73">concatenate("q", "/", G154, " * $", H154)</f>
        <v>q/10500 * $1000000</v>
      </c>
      <c r="K154" s="73">
        <f t="shared" ref="K154:K158" si="74">1000000*0.75</f>
        <v>750000</v>
      </c>
      <c r="L154" s="29" t="s">
        <v>373</v>
      </c>
      <c r="M154" s="73">
        <v>1000000.0</v>
      </c>
      <c r="N154" s="29" t="s">
        <v>374</v>
      </c>
    </row>
    <row r="155">
      <c r="A155" s="37" t="s">
        <v>160</v>
      </c>
      <c r="B155" s="7" t="s">
        <v>161</v>
      </c>
      <c r="C155" s="103" t="s">
        <v>255</v>
      </c>
      <c r="D155" s="29">
        <v>10000.0</v>
      </c>
      <c r="E155" s="29"/>
      <c r="F155" s="29">
        <v>500.0</v>
      </c>
      <c r="G155" s="40">
        <f t="shared" si="72"/>
        <v>10500</v>
      </c>
      <c r="H155" s="73">
        <v>1000000.0</v>
      </c>
      <c r="I155" s="29" t="s">
        <v>371</v>
      </c>
      <c r="J155" s="29" t="str">
        <f t="shared" si="73"/>
        <v>q/10500 * $1000000</v>
      </c>
      <c r="K155" s="73">
        <f t="shared" si="74"/>
        <v>750000</v>
      </c>
      <c r="L155" s="29" t="s">
        <v>373</v>
      </c>
      <c r="M155" s="73">
        <v>1000000.0</v>
      </c>
      <c r="N155" s="29" t="s">
        <v>374</v>
      </c>
    </row>
    <row r="156">
      <c r="A156" s="37" t="s">
        <v>160</v>
      </c>
      <c r="B156" s="7" t="s">
        <v>161</v>
      </c>
      <c r="C156" s="76" t="s">
        <v>256</v>
      </c>
      <c r="D156" s="29">
        <v>10000.0</v>
      </c>
      <c r="E156" s="29"/>
      <c r="F156" s="29">
        <v>500.0</v>
      </c>
      <c r="G156" s="40">
        <f t="shared" si="72"/>
        <v>10500</v>
      </c>
      <c r="H156" s="73">
        <v>1000000.0</v>
      </c>
      <c r="I156" s="29" t="s">
        <v>371</v>
      </c>
      <c r="J156" s="29" t="str">
        <f t="shared" si="73"/>
        <v>q/10500 * $1000000</v>
      </c>
      <c r="K156" s="73">
        <f t="shared" si="74"/>
        <v>750000</v>
      </c>
      <c r="L156" s="29" t="s">
        <v>373</v>
      </c>
      <c r="M156" s="73">
        <v>1000000.0</v>
      </c>
      <c r="N156" s="29" t="s">
        <v>374</v>
      </c>
    </row>
    <row r="157">
      <c r="A157" s="37" t="s">
        <v>160</v>
      </c>
      <c r="B157" s="7" t="s">
        <v>161</v>
      </c>
      <c r="C157" s="76" t="s">
        <v>257</v>
      </c>
      <c r="D157" s="29">
        <v>10000.0</v>
      </c>
      <c r="E157" s="29"/>
      <c r="F157" s="29">
        <v>500.0</v>
      </c>
      <c r="G157" s="40">
        <f t="shared" si="72"/>
        <v>10500</v>
      </c>
      <c r="H157" s="73">
        <v>1000000.0</v>
      </c>
      <c r="I157" s="29" t="s">
        <v>371</v>
      </c>
      <c r="J157" s="29" t="str">
        <f t="shared" si="73"/>
        <v>q/10500 * $1000000</v>
      </c>
      <c r="K157" s="73">
        <f t="shared" si="74"/>
        <v>750000</v>
      </c>
      <c r="L157" s="29" t="s">
        <v>373</v>
      </c>
      <c r="M157" s="73">
        <v>1000000.0</v>
      </c>
      <c r="N157" s="29" t="s">
        <v>374</v>
      </c>
    </row>
    <row r="158">
      <c r="A158" s="37" t="s">
        <v>160</v>
      </c>
      <c r="B158" s="7" t="s">
        <v>161</v>
      </c>
      <c r="C158" s="76" t="s">
        <v>260</v>
      </c>
      <c r="D158" s="29">
        <v>10000.0</v>
      </c>
      <c r="E158" s="29"/>
      <c r="F158" s="29">
        <v>500.0</v>
      </c>
      <c r="G158" s="40">
        <f t="shared" si="72"/>
        <v>10500</v>
      </c>
      <c r="H158" s="73">
        <v>1000000.0</v>
      </c>
      <c r="I158" s="29" t="s">
        <v>371</v>
      </c>
      <c r="J158" s="29" t="str">
        <f t="shared" si="73"/>
        <v>q/10500 * $1000000</v>
      </c>
      <c r="K158" s="73">
        <f t="shared" si="74"/>
        <v>750000</v>
      </c>
      <c r="L158" s="29" t="s">
        <v>373</v>
      </c>
      <c r="M158" s="73">
        <v>1000000.0</v>
      </c>
      <c r="N158" s="29" t="s">
        <v>374</v>
      </c>
    </row>
    <row r="159">
      <c r="A159" s="44"/>
      <c r="B159" s="46"/>
      <c r="C159" s="77"/>
      <c r="D159" s="92"/>
      <c r="E159" s="92"/>
      <c r="F159" s="92"/>
      <c r="G159" s="44"/>
      <c r="H159" s="91"/>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row>
    <row r="160">
      <c r="A160" s="37" t="s">
        <v>163</v>
      </c>
      <c r="B160" s="7" t="s">
        <v>164</v>
      </c>
      <c r="C160" s="103">
        <v>2013.0</v>
      </c>
      <c r="D160" s="29">
        <v>3250.0</v>
      </c>
      <c r="E160" s="29">
        <v>15500.0</v>
      </c>
      <c r="F160" s="36"/>
      <c r="G160" s="48"/>
      <c r="H160" s="73">
        <v>300000.0</v>
      </c>
      <c r="I160" s="29" t="s">
        <v>375</v>
      </c>
      <c r="J160" s="29" t="s">
        <v>350</v>
      </c>
      <c r="K160" s="73">
        <v>240000.0</v>
      </c>
      <c r="L160" s="29" t="s">
        <v>37</v>
      </c>
      <c r="M160" s="73">
        <v>300000.0</v>
      </c>
    </row>
    <row r="161">
      <c r="A161" s="37" t="s">
        <v>163</v>
      </c>
      <c r="B161" s="7" t="s">
        <v>164</v>
      </c>
      <c r="C161" s="103">
        <v>2014.0</v>
      </c>
      <c r="D161" s="29">
        <v>3250.0</v>
      </c>
      <c r="E161" s="29">
        <v>15500.0</v>
      </c>
      <c r="F161" s="36"/>
      <c r="G161" s="48"/>
      <c r="H161" s="73">
        <v>300000.0</v>
      </c>
      <c r="I161" s="29" t="s">
        <v>375</v>
      </c>
      <c r="J161" s="29" t="s">
        <v>350</v>
      </c>
      <c r="K161" s="73">
        <v>240000.0</v>
      </c>
      <c r="L161" s="29" t="s">
        <v>37</v>
      </c>
      <c r="M161" s="73">
        <v>300000.0</v>
      </c>
    </row>
    <row r="162">
      <c r="A162" s="37" t="s">
        <v>163</v>
      </c>
      <c r="B162" s="7" t="s">
        <v>164</v>
      </c>
      <c r="C162" s="103">
        <v>2015.0</v>
      </c>
      <c r="D162" s="29">
        <v>3250.0</v>
      </c>
      <c r="E162" s="29">
        <v>15500.0</v>
      </c>
      <c r="F162" s="36"/>
      <c r="G162" s="48"/>
      <c r="H162" s="73">
        <v>300000.0</v>
      </c>
      <c r="I162" s="29" t="s">
        <v>375</v>
      </c>
      <c r="J162" s="29" t="s">
        <v>350</v>
      </c>
      <c r="K162" s="73">
        <v>240000.0</v>
      </c>
      <c r="L162" s="29" t="s">
        <v>37</v>
      </c>
      <c r="M162" s="73">
        <v>300000.0</v>
      </c>
    </row>
    <row r="163">
      <c r="A163" s="37" t="s">
        <v>163</v>
      </c>
      <c r="B163" s="7" t="s">
        <v>164</v>
      </c>
      <c r="C163" s="103">
        <v>2016.0</v>
      </c>
      <c r="D163" s="29">
        <v>3250.0</v>
      </c>
      <c r="E163" s="29">
        <v>15500.0</v>
      </c>
      <c r="F163" s="36"/>
      <c r="G163" s="48"/>
      <c r="H163" s="73">
        <v>300000.0</v>
      </c>
      <c r="I163" s="29" t="s">
        <v>375</v>
      </c>
      <c r="J163" s="29" t="s">
        <v>350</v>
      </c>
      <c r="K163" s="73">
        <v>240000.0</v>
      </c>
      <c r="L163" s="29" t="s">
        <v>37</v>
      </c>
      <c r="M163" s="73">
        <v>300000.0</v>
      </c>
    </row>
    <row r="164">
      <c r="A164" s="37" t="s">
        <v>163</v>
      </c>
      <c r="B164" s="7" t="s">
        <v>164</v>
      </c>
      <c r="C164" s="103">
        <v>2017.0</v>
      </c>
      <c r="D164" s="29">
        <v>3250.0</v>
      </c>
      <c r="E164" s="29">
        <v>15500.0</v>
      </c>
      <c r="F164" s="36"/>
      <c r="G164" s="48"/>
      <c r="H164" s="73">
        <v>300000.0</v>
      </c>
      <c r="I164" s="29" t="s">
        <v>375</v>
      </c>
      <c r="J164" s="29" t="s">
        <v>350</v>
      </c>
      <c r="K164" s="73">
        <v>240000.0</v>
      </c>
      <c r="L164" s="29" t="s">
        <v>37</v>
      </c>
      <c r="M164" s="73">
        <v>300000.0</v>
      </c>
    </row>
    <row r="165">
      <c r="A165" s="37" t="s">
        <v>163</v>
      </c>
      <c r="B165" s="7" t="s">
        <v>164</v>
      </c>
      <c r="C165" s="103" t="s">
        <v>255</v>
      </c>
      <c r="D165" s="29">
        <v>3250.0</v>
      </c>
      <c r="E165" s="29">
        <v>15500.0</v>
      </c>
      <c r="F165" s="36"/>
      <c r="G165" s="48"/>
      <c r="H165" s="73">
        <v>300000.0</v>
      </c>
      <c r="I165" s="29" t="s">
        <v>375</v>
      </c>
      <c r="J165" s="29" t="s">
        <v>350</v>
      </c>
      <c r="K165" s="73">
        <v>240000.0</v>
      </c>
      <c r="L165" s="29" t="s">
        <v>37</v>
      </c>
      <c r="M165" s="73">
        <v>300000.0</v>
      </c>
    </row>
    <row r="166">
      <c r="A166" s="37" t="s">
        <v>163</v>
      </c>
      <c r="B166" s="7" t="s">
        <v>164</v>
      </c>
      <c r="C166" s="76" t="s">
        <v>256</v>
      </c>
      <c r="D166" s="29">
        <v>3250.0</v>
      </c>
      <c r="E166" s="29">
        <v>15500.0</v>
      </c>
      <c r="F166" s="36"/>
      <c r="G166" s="48"/>
      <c r="H166" s="73">
        <v>300000.0</v>
      </c>
      <c r="I166" s="29" t="s">
        <v>375</v>
      </c>
      <c r="J166" s="29" t="s">
        <v>350</v>
      </c>
      <c r="K166" s="73">
        <v>240000.0</v>
      </c>
      <c r="L166" s="29" t="s">
        <v>37</v>
      </c>
      <c r="M166" s="73">
        <v>300000.0</v>
      </c>
    </row>
    <row r="167">
      <c r="A167" s="44"/>
      <c r="B167" s="46"/>
      <c r="C167" s="77"/>
      <c r="D167" s="92"/>
      <c r="E167" s="92"/>
      <c r="F167" s="92"/>
      <c r="G167" s="44"/>
      <c r="H167" s="91"/>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c r="A168" s="75" t="s">
        <v>178</v>
      </c>
      <c r="B168" s="43" t="s">
        <v>179</v>
      </c>
      <c r="C168" s="76">
        <v>2011.0</v>
      </c>
      <c r="D168" s="109">
        <v>3145.0</v>
      </c>
      <c r="E168" s="36"/>
      <c r="F168" s="29">
        <v>100.0</v>
      </c>
      <c r="G168" s="40">
        <f t="shared" ref="G168:G172" si="75">sum(D168:F168)</f>
        <v>3245</v>
      </c>
      <c r="H168" s="73">
        <v>135000.0</v>
      </c>
      <c r="I168" s="29" t="s">
        <v>376</v>
      </c>
      <c r="J168" s="29" t="str">
        <f t="shared" ref="J168:J172" si="76">concatenate("q", "/", G168, " * $", H168)</f>
        <v>q/3245 * $135000</v>
      </c>
      <c r="K168" s="164">
        <f t="shared" ref="K168:K172" si="77">H168*0.75</f>
        <v>101250</v>
      </c>
      <c r="L168" s="29" t="s">
        <v>377</v>
      </c>
      <c r="M168" s="74">
        <f t="shared" ref="M168:M172" si="78">H168*(1.1)</f>
        <v>148500</v>
      </c>
    </row>
    <row r="169">
      <c r="A169" s="75" t="s">
        <v>178</v>
      </c>
      <c r="B169" s="43" t="s">
        <v>179</v>
      </c>
      <c r="C169" s="103">
        <v>2012.0</v>
      </c>
      <c r="D169" s="109">
        <v>2900.0</v>
      </c>
      <c r="E169" s="36"/>
      <c r="F169" s="29">
        <v>100.0</v>
      </c>
      <c r="G169" s="40">
        <f t="shared" si="75"/>
        <v>3000</v>
      </c>
      <c r="H169" s="73">
        <v>200000.0</v>
      </c>
      <c r="I169" s="29" t="s">
        <v>376</v>
      </c>
      <c r="J169" s="29" t="str">
        <f t="shared" si="76"/>
        <v>q/3000 * $200000</v>
      </c>
      <c r="K169" s="164">
        <f t="shared" si="77"/>
        <v>150000</v>
      </c>
      <c r="L169" s="29" t="s">
        <v>377</v>
      </c>
      <c r="M169" s="74">
        <f t="shared" si="78"/>
        <v>220000</v>
      </c>
    </row>
    <row r="170">
      <c r="A170" s="75" t="s">
        <v>178</v>
      </c>
      <c r="B170" s="43" t="s">
        <v>179</v>
      </c>
      <c r="C170" s="103">
        <v>2013.0</v>
      </c>
      <c r="D170" s="109">
        <v>2950.0</v>
      </c>
      <c r="E170" s="36"/>
      <c r="F170" s="29">
        <v>100.0</v>
      </c>
      <c r="G170" s="40">
        <f t="shared" si="75"/>
        <v>3050</v>
      </c>
      <c r="H170" s="73">
        <v>240000.0</v>
      </c>
      <c r="I170" s="29" t="s">
        <v>376</v>
      </c>
      <c r="J170" s="29" t="str">
        <f t="shared" si="76"/>
        <v>q/3050 * $240000</v>
      </c>
      <c r="K170" s="164">
        <f t="shared" si="77"/>
        <v>180000</v>
      </c>
      <c r="L170" s="29" t="s">
        <v>377</v>
      </c>
      <c r="M170" s="74">
        <f t="shared" si="78"/>
        <v>264000</v>
      </c>
    </row>
    <row r="171">
      <c r="A171" s="75" t="s">
        <v>178</v>
      </c>
      <c r="B171" s="43" t="s">
        <v>179</v>
      </c>
      <c r="C171" s="103">
        <v>2014.0</v>
      </c>
      <c r="D171" s="109">
        <v>2950.0</v>
      </c>
      <c r="E171" s="36"/>
      <c r="F171" s="29">
        <v>100.0</v>
      </c>
      <c r="G171" s="40">
        <f t="shared" si="75"/>
        <v>3050</v>
      </c>
      <c r="H171" s="73">
        <v>300000.0</v>
      </c>
      <c r="I171" s="29" t="s">
        <v>376</v>
      </c>
      <c r="J171" s="29" t="str">
        <f t="shared" si="76"/>
        <v>q/3050 * $300000</v>
      </c>
      <c r="K171" s="164">
        <f t="shared" si="77"/>
        <v>225000</v>
      </c>
      <c r="L171" s="29" t="s">
        <v>377</v>
      </c>
      <c r="M171" s="74">
        <f t="shared" si="78"/>
        <v>330000</v>
      </c>
    </row>
    <row r="172">
      <c r="A172" s="75" t="s">
        <v>178</v>
      </c>
      <c r="B172" s="43" t="s">
        <v>179</v>
      </c>
      <c r="C172" s="105">
        <v>2015.0</v>
      </c>
      <c r="D172" s="109">
        <v>2950.0</v>
      </c>
      <c r="E172" s="36"/>
      <c r="F172" s="29">
        <v>100.0</v>
      </c>
      <c r="G172" s="40">
        <f t="shared" si="75"/>
        <v>3050</v>
      </c>
      <c r="H172" s="73">
        <v>340000.0</v>
      </c>
      <c r="I172" s="29" t="s">
        <v>376</v>
      </c>
      <c r="J172" s="29" t="str">
        <f t="shared" si="76"/>
        <v>q/3050 * $340000</v>
      </c>
      <c r="K172" s="164">
        <f t="shared" si="77"/>
        <v>255000</v>
      </c>
      <c r="L172" s="29" t="s">
        <v>377</v>
      </c>
      <c r="M172" s="74">
        <f t="shared" si="78"/>
        <v>374000</v>
      </c>
    </row>
    <row r="173">
      <c r="A173" s="75" t="s">
        <v>178</v>
      </c>
      <c r="B173" s="43" t="s">
        <v>179</v>
      </c>
      <c r="C173" s="105">
        <v>2016.0</v>
      </c>
      <c r="D173" s="29">
        <v>1650.0</v>
      </c>
      <c r="E173" s="36"/>
      <c r="F173" s="29">
        <v>68.0</v>
      </c>
      <c r="G173" s="40" t="s">
        <v>378</v>
      </c>
      <c r="H173" s="73">
        <v>75000.0</v>
      </c>
      <c r="I173" s="29" t="s">
        <v>379</v>
      </c>
      <c r="J173" s="29" t="s">
        <v>372</v>
      </c>
      <c r="K173" s="73">
        <v>75000.0</v>
      </c>
      <c r="L173" s="29" t="s">
        <v>380</v>
      </c>
      <c r="M173" s="74">
        <f t="shared" ref="M173:M177" si="79">H173*(1.2)</f>
        <v>90000</v>
      </c>
    </row>
    <row r="174">
      <c r="A174" s="75" t="s">
        <v>178</v>
      </c>
      <c r="B174" s="43" t="s">
        <v>179</v>
      </c>
      <c r="C174" s="105">
        <v>2017.0</v>
      </c>
      <c r="D174" s="29">
        <v>1650.0</v>
      </c>
      <c r="E174" s="36"/>
      <c r="F174" s="29">
        <v>68.0</v>
      </c>
      <c r="G174" s="40" t="s">
        <v>378</v>
      </c>
      <c r="H174" s="73">
        <v>75000.0</v>
      </c>
      <c r="I174" s="29" t="s">
        <v>379</v>
      </c>
      <c r="J174" s="29" t="s">
        <v>372</v>
      </c>
      <c r="K174" s="73">
        <v>75000.0</v>
      </c>
      <c r="L174" s="29" t="s">
        <v>380</v>
      </c>
      <c r="M174" s="74">
        <f t="shared" si="79"/>
        <v>90000</v>
      </c>
    </row>
    <row r="175">
      <c r="A175" s="75" t="s">
        <v>178</v>
      </c>
      <c r="B175" s="43" t="s">
        <v>179</v>
      </c>
      <c r="C175" s="103" t="s">
        <v>255</v>
      </c>
      <c r="D175" s="29">
        <v>1650.0</v>
      </c>
      <c r="E175" s="36"/>
      <c r="F175" s="29">
        <v>68.0</v>
      </c>
      <c r="G175" s="40" t="s">
        <v>378</v>
      </c>
      <c r="H175" s="73">
        <v>250000.0</v>
      </c>
      <c r="I175" s="29" t="s">
        <v>379</v>
      </c>
      <c r="J175" s="29" t="str">
        <f t="shared" ref="J175:J177" si="80">concatenate("q", "/", G175, " * $", H175)</f>
        <v>q/1718 * $250000</v>
      </c>
      <c r="K175" s="164">
        <f t="shared" ref="K175:K177" si="81">H175*0.75</f>
        <v>187500</v>
      </c>
      <c r="L175" s="29" t="s">
        <v>380</v>
      </c>
      <c r="M175" s="74">
        <f t="shared" si="79"/>
        <v>300000</v>
      </c>
    </row>
    <row r="176">
      <c r="A176" s="75" t="s">
        <v>178</v>
      </c>
      <c r="B176" s="43" t="s">
        <v>179</v>
      </c>
      <c r="C176" s="76" t="s">
        <v>256</v>
      </c>
      <c r="D176" s="29">
        <v>1650.0</v>
      </c>
      <c r="E176" s="36"/>
      <c r="F176" s="29">
        <v>68.0</v>
      </c>
      <c r="G176" s="40" t="s">
        <v>378</v>
      </c>
      <c r="H176" s="73">
        <v>250000.0</v>
      </c>
      <c r="I176" s="29" t="s">
        <v>379</v>
      </c>
      <c r="J176" s="29" t="str">
        <f t="shared" si="80"/>
        <v>q/1718 * $250000</v>
      </c>
      <c r="K176" s="164">
        <f t="shared" si="81"/>
        <v>187500</v>
      </c>
      <c r="L176" s="29" t="s">
        <v>380</v>
      </c>
      <c r="M176" s="74">
        <f t="shared" si="79"/>
        <v>300000</v>
      </c>
    </row>
    <row r="177">
      <c r="A177" s="75" t="s">
        <v>178</v>
      </c>
      <c r="B177" s="43" t="s">
        <v>179</v>
      </c>
      <c r="C177" s="76" t="s">
        <v>257</v>
      </c>
      <c r="D177" s="29">
        <v>1650.0</v>
      </c>
      <c r="E177" s="36"/>
      <c r="F177" s="29">
        <v>68.0</v>
      </c>
      <c r="G177" s="40" t="s">
        <v>378</v>
      </c>
      <c r="H177" s="73">
        <v>250000.0</v>
      </c>
      <c r="I177" s="29" t="s">
        <v>379</v>
      </c>
      <c r="J177" s="29" t="str">
        <f t="shared" si="80"/>
        <v>q/1718 * $250000</v>
      </c>
      <c r="K177" s="164">
        <f t="shared" si="81"/>
        <v>187500</v>
      </c>
      <c r="L177" s="29" t="s">
        <v>380</v>
      </c>
      <c r="M177" s="74">
        <f t="shared" si="79"/>
        <v>300000</v>
      </c>
    </row>
    <row r="178">
      <c r="A178" s="44"/>
      <c r="B178" s="46"/>
      <c r="C178" s="77"/>
      <c r="D178" s="92"/>
      <c r="E178" s="92"/>
      <c r="F178" s="92"/>
      <c r="G178" s="44"/>
      <c r="H178" s="91"/>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row>
    <row r="179">
      <c r="A179" s="41" t="s">
        <v>195</v>
      </c>
      <c r="B179" s="27" t="s">
        <v>196</v>
      </c>
      <c r="C179" s="103">
        <v>2012.0</v>
      </c>
      <c r="D179" s="29">
        <v>3000.0</v>
      </c>
      <c r="E179" s="29"/>
      <c r="F179" s="29">
        <v>120.0</v>
      </c>
      <c r="G179" s="29">
        <v>3120.0</v>
      </c>
      <c r="H179" s="73">
        <v>150000.0</v>
      </c>
      <c r="I179" s="29" t="s">
        <v>381</v>
      </c>
      <c r="J179" s="29" t="str">
        <f t="shared" ref="J179:J185" si="82">concatenate("q", "/", G179, " * $", H179)</f>
        <v>q/3120 * $150000</v>
      </c>
      <c r="K179" s="164">
        <f t="shared" ref="K179:K185" si="83">H179*(2/3)</f>
        <v>100000</v>
      </c>
      <c r="L179" s="29" t="s">
        <v>380</v>
      </c>
      <c r="M179" s="74">
        <f t="shared" ref="M179:M185" si="84">H179*(1.2)</f>
        <v>180000</v>
      </c>
    </row>
    <row r="180">
      <c r="A180" s="41" t="s">
        <v>195</v>
      </c>
      <c r="B180" s="27" t="s">
        <v>196</v>
      </c>
      <c r="C180" s="103">
        <v>2013.0</v>
      </c>
      <c r="D180" s="29">
        <v>3400.0</v>
      </c>
      <c r="E180" s="29"/>
      <c r="F180" s="29">
        <v>160.0</v>
      </c>
      <c r="G180" s="29">
        <v>3560.0</v>
      </c>
      <c r="H180" s="73">
        <v>175000.0</v>
      </c>
      <c r="I180" s="29" t="s">
        <v>381</v>
      </c>
      <c r="J180" s="29" t="str">
        <f t="shared" si="82"/>
        <v>q/3560 * $175000</v>
      </c>
      <c r="K180" s="164">
        <f t="shared" si="83"/>
        <v>116666.6667</v>
      </c>
      <c r="L180" s="29" t="s">
        <v>380</v>
      </c>
      <c r="M180" s="74">
        <f t="shared" si="84"/>
        <v>210000</v>
      </c>
    </row>
    <row r="181">
      <c r="A181" s="41" t="s">
        <v>195</v>
      </c>
      <c r="B181" s="27" t="s">
        <v>196</v>
      </c>
      <c r="C181" s="103">
        <v>2014.0</v>
      </c>
      <c r="D181" s="29">
        <v>3400.0</v>
      </c>
      <c r="E181" s="29"/>
      <c r="F181" s="29">
        <v>160.0</v>
      </c>
      <c r="G181" s="29">
        <v>3560.0</v>
      </c>
      <c r="H181" s="73">
        <v>200000.0</v>
      </c>
      <c r="I181" s="29" t="s">
        <v>381</v>
      </c>
      <c r="J181" s="29" t="str">
        <f t="shared" si="82"/>
        <v>q/3560 * $200000</v>
      </c>
      <c r="K181" s="164">
        <f t="shared" si="83"/>
        <v>133333.3333</v>
      </c>
      <c r="L181" s="29" t="s">
        <v>380</v>
      </c>
      <c r="M181" s="74">
        <f t="shared" si="84"/>
        <v>240000</v>
      </c>
    </row>
    <row r="182">
      <c r="A182" s="41" t="s">
        <v>195</v>
      </c>
      <c r="B182" s="27" t="s">
        <v>196</v>
      </c>
      <c r="C182" s="105">
        <v>2015.0</v>
      </c>
      <c r="D182" s="29">
        <v>3500.0</v>
      </c>
      <c r="E182" s="29"/>
      <c r="F182" s="29">
        <v>160.0</v>
      </c>
      <c r="G182" s="29">
        <v>3660.0</v>
      </c>
      <c r="H182" s="73">
        <v>225000.0</v>
      </c>
      <c r="I182" s="29" t="s">
        <v>381</v>
      </c>
      <c r="J182" s="29" t="str">
        <f t="shared" si="82"/>
        <v>q/3660 * $225000</v>
      </c>
      <c r="K182" s="164">
        <f t="shared" si="83"/>
        <v>150000</v>
      </c>
      <c r="L182" s="29" t="s">
        <v>380</v>
      </c>
      <c r="M182" s="74">
        <f t="shared" si="84"/>
        <v>270000</v>
      </c>
    </row>
    <row r="183">
      <c r="A183" s="41" t="s">
        <v>195</v>
      </c>
      <c r="B183" s="27" t="s">
        <v>196</v>
      </c>
      <c r="C183" s="105">
        <v>2016.0</v>
      </c>
      <c r="D183" s="29">
        <v>3500.0</v>
      </c>
      <c r="E183" s="29"/>
      <c r="F183" s="29">
        <v>160.0</v>
      </c>
      <c r="G183" s="29">
        <v>3660.0</v>
      </c>
      <c r="H183" s="73">
        <v>250000.0</v>
      </c>
      <c r="I183" s="29" t="s">
        <v>381</v>
      </c>
      <c r="J183" s="29" t="str">
        <f t="shared" si="82"/>
        <v>q/3660 * $250000</v>
      </c>
      <c r="K183" s="164">
        <f t="shared" si="83"/>
        <v>166666.6667</v>
      </c>
      <c r="L183" s="29" t="s">
        <v>380</v>
      </c>
      <c r="M183" s="74">
        <f t="shared" si="84"/>
        <v>300000</v>
      </c>
    </row>
    <row r="184">
      <c r="A184" s="41" t="s">
        <v>195</v>
      </c>
      <c r="B184" s="27" t="s">
        <v>196</v>
      </c>
      <c r="C184" s="105">
        <v>2017.0</v>
      </c>
      <c r="D184" s="29">
        <v>3500.0</v>
      </c>
      <c r="E184" s="29"/>
      <c r="F184" s="29">
        <v>160.0</v>
      </c>
      <c r="G184" s="29">
        <v>3660.0</v>
      </c>
      <c r="H184" s="73">
        <v>250000.0</v>
      </c>
      <c r="I184" s="29" t="s">
        <v>381</v>
      </c>
      <c r="J184" s="29" t="str">
        <f t="shared" si="82"/>
        <v>q/3660 * $250000</v>
      </c>
      <c r="K184" s="164">
        <f t="shared" si="83"/>
        <v>166666.6667</v>
      </c>
      <c r="L184" s="29" t="s">
        <v>380</v>
      </c>
      <c r="M184" s="74">
        <f t="shared" si="84"/>
        <v>300000</v>
      </c>
    </row>
    <row r="185">
      <c r="A185" s="41" t="s">
        <v>195</v>
      </c>
      <c r="B185" s="27" t="s">
        <v>196</v>
      </c>
      <c r="C185" s="103" t="s">
        <v>255</v>
      </c>
      <c r="D185" s="29">
        <v>3500.0</v>
      </c>
      <c r="E185" s="29"/>
      <c r="F185" s="29">
        <v>160.0</v>
      </c>
      <c r="G185" s="29">
        <v>3660.0</v>
      </c>
      <c r="H185" s="73">
        <v>250000.0</v>
      </c>
      <c r="I185" s="29" t="s">
        <v>381</v>
      </c>
      <c r="J185" s="29" t="str">
        <f t="shared" si="82"/>
        <v>q/3660 * $250000</v>
      </c>
      <c r="K185" s="164">
        <f t="shared" si="83"/>
        <v>166666.6667</v>
      </c>
      <c r="L185" s="29" t="s">
        <v>380</v>
      </c>
      <c r="M185" s="74">
        <f t="shared" si="84"/>
        <v>300000</v>
      </c>
    </row>
    <row r="186">
      <c r="A186" s="44"/>
      <c r="B186" s="46"/>
      <c r="C186" s="77"/>
      <c r="D186" s="92"/>
      <c r="E186" s="92"/>
      <c r="F186" s="92"/>
      <c r="G186" s="44"/>
      <c r="H186" s="91"/>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row>
    <row r="187">
      <c r="A187" s="110" t="s">
        <v>198</v>
      </c>
      <c r="B187" s="165" t="s">
        <v>199</v>
      </c>
      <c r="C187" s="76" t="s">
        <v>239</v>
      </c>
      <c r="D187" s="29">
        <v>1000.0</v>
      </c>
      <c r="E187" s="36"/>
      <c r="F187" s="36"/>
      <c r="G187" s="40">
        <f t="shared" ref="G187:G191" si="85">sum(D187:F187)</f>
        <v>1000</v>
      </c>
      <c r="H187" s="73">
        <v>50000.0</v>
      </c>
      <c r="I187" s="29" t="s">
        <v>382</v>
      </c>
      <c r="J187" s="29" t="str">
        <f t="shared" ref="J187:J191" si="86">concatenate("q", "/", G187, " * $", H187)</f>
        <v>q/1000 * $50000</v>
      </c>
      <c r="K187" s="164">
        <f t="shared" ref="K187:K191" si="87">H187*0.75</f>
        <v>37500</v>
      </c>
      <c r="L187" s="29" t="s">
        <v>380</v>
      </c>
      <c r="M187" s="74">
        <f t="shared" ref="M187:M191" si="88">H187*(1.2)</f>
        <v>60000</v>
      </c>
    </row>
    <row r="188">
      <c r="A188" s="110" t="s">
        <v>198</v>
      </c>
      <c r="B188" s="165" t="s">
        <v>199</v>
      </c>
      <c r="C188" s="76" t="s">
        <v>240</v>
      </c>
      <c r="D188" s="29">
        <v>1050.0</v>
      </c>
      <c r="E188" s="36"/>
      <c r="F188" s="36"/>
      <c r="G188" s="40">
        <f t="shared" si="85"/>
        <v>1050</v>
      </c>
      <c r="H188" s="73">
        <v>70000.0</v>
      </c>
      <c r="I188" s="29" t="s">
        <v>382</v>
      </c>
      <c r="J188" s="29" t="str">
        <f t="shared" si="86"/>
        <v>q/1050 * $70000</v>
      </c>
      <c r="K188" s="164">
        <f t="shared" si="87"/>
        <v>52500</v>
      </c>
      <c r="L188" s="29" t="s">
        <v>380</v>
      </c>
      <c r="M188" s="74">
        <f t="shared" si="88"/>
        <v>84000</v>
      </c>
    </row>
    <row r="189">
      <c r="A189" s="110" t="s">
        <v>198</v>
      </c>
      <c r="B189" s="165" t="s">
        <v>199</v>
      </c>
      <c r="C189" s="100" t="s">
        <v>241</v>
      </c>
      <c r="D189" s="29">
        <v>1100.0</v>
      </c>
      <c r="E189" s="36"/>
      <c r="F189" s="36"/>
      <c r="G189" s="40">
        <f t="shared" si="85"/>
        <v>1100</v>
      </c>
      <c r="H189" s="73">
        <v>90000.0</v>
      </c>
      <c r="I189" s="29" t="s">
        <v>382</v>
      </c>
      <c r="J189" s="29" t="str">
        <f t="shared" si="86"/>
        <v>q/1100 * $90000</v>
      </c>
      <c r="K189" s="164">
        <f t="shared" si="87"/>
        <v>67500</v>
      </c>
      <c r="L189" s="29" t="s">
        <v>380</v>
      </c>
      <c r="M189" s="74">
        <f t="shared" si="88"/>
        <v>108000</v>
      </c>
    </row>
    <row r="190">
      <c r="A190" s="110" t="s">
        <v>198</v>
      </c>
      <c r="B190" s="165" t="s">
        <v>199</v>
      </c>
      <c r="C190" s="100" t="s">
        <v>242</v>
      </c>
      <c r="D190" s="29">
        <v>1200.0</v>
      </c>
      <c r="E190" s="36"/>
      <c r="F190" s="36"/>
      <c r="G190" s="40">
        <f t="shared" si="85"/>
        <v>1200</v>
      </c>
      <c r="H190" s="73">
        <v>110000.0</v>
      </c>
      <c r="I190" s="29" t="s">
        <v>382</v>
      </c>
      <c r="J190" s="29" t="str">
        <f t="shared" si="86"/>
        <v>q/1200 * $110000</v>
      </c>
      <c r="K190" s="164">
        <f t="shared" si="87"/>
        <v>82500</v>
      </c>
      <c r="L190" s="29" t="s">
        <v>380</v>
      </c>
      <c r="M190" s="74">
        <f t="shared" si="88"/>
        <v>132000</v>
      </c>
    </row>
    <row r="191">
      <c r="A191" s="110" t="s">
        <v>198</v>
      </c>
      <c r="B191" s="165" t="s">
        <v>199</v>
      </c>
      <c r="C191" s="103" t="s">
        <v>243</v>
      </c>
      <c r="D191" s="29">
        <v>1200.0</v>
      </c>
      <c r="E191" s="36"/>
      <c r="F191" s="36"/>
      <c r="G191" s="40">
        <f t="shared" si="85"/>
        <v>1200</v>
      </c>
      <c r="H191" s="73">
        <v>110000.0</v>
      </c>
      <c r="I191" s="29" t="s">
        <v>382</v>
      </c>
      <c r="J191" s="29" t="str">
        <f t="shared" si="86"/>
        <v>q/1200 * $110000</v>
      </c>
      <c r="K191" s="164">
        <f t="shared" si="87"/>
        <v>82500</v>
      </c>
      <c r="L191" s="29" t="s">
        <v>380</v>
      </c>
      <c r="M191" s="74">
        <f t="shared" si="88"/>
        <v>132000</v>
      </c>
    </row>
    <row r="192">
      <c r="A192" s="48"/>
      <c r="C192" s="79"/>
      <c r="D192" s="36"/>
      <c r="E192" s="36"/>
      <c r="F192" s="36"/>
      <c r="G192" s="48"/>
      <c r="H192" s="74"/>
    </row>
    <row r="193">
      <c r="A193" s="48"/>
      <c r="C193" s="79"/>
      <c r="D193" s="36"/>
      <c r="E193" s="36"/>
      <c r="F193" s="36"/>
      <c r="G193" s="48"/>
      <c r="H193" s="74"/>
    </row>
    <row r="194">
      <c r="A194" s="48"/>
      <c r="C194" s="79"/>
      <c r="D194" s="36"/>
      <c r="E194" s="36"/>
      <c r="F194" s="36"/>
      <c r="G194" s="48"/>
      <c r="H194" s="74"/>
    </row>
    <row r="195">
      <c r="A195" s="48"/>
      <c r="C195" s="79"/>
      <c r="D195" s="36"/>
      <c r="E195" s="36"/>
      <c r="F195" s="36"/>
      <c r="G195" s="48"/>
      <c r="H195" s="74"/>
    </row>
    <row r="196">
      <c r="A196" s="48"/>
      <c r="C196" s="79"/>
      <c r="D196" s="36"/>
      <c r="E196" s="36"/>
      <c r="F196" s="36"/>
      <c r="G196" s="48"/>
      <c r="H196" s="74"/>
    </row>
    <row r="197">
      <c r="A197" s="48"/>
      <c r="C197" s="79"/>
      <c r="D197" s="36"/>
      <c r="E197" s="36"/>
      <c r="F197" s="36"/>
      <c r="G197" s="48"/>
      <c r="H197" s="74"/>
    </row>
    <row r="198">
      <c r="A198" s="48"/>
      <c r="C198" s="79"/>
      <c r="D198" s="36"/>
      <c r="E198" s="36"/>
      <c r="F198" s="36"/>
      <c r="G198" s="48"/>
      <c r="H198" s="74"/>
    </row>
    <row r="199">
      <c r="A199" s="48"/>
      <c r="C199" s="79"/>
      <c r="D199" s="36"/>
      <c r="E199" s="36"/>
      <c r="F199" s="36"/>
      <c r="G199" s="48"/>
      <c r="H199" s="74"/>
    </row>
    <row r="200">
      <c r="A200" s="48"/>
      <c r="C200" s="79"/>
      <c r="D200" s="36"/>
      <c r="E200" s="36"/>
      <c r="F200" s="36"/>
      <c r="G200" s="48"/>
      <c r="H200" s="74"/>
    </row>
    <row r="201">
      <c r="A201" s="48"/>
      <c r="C201" s="79"/>
      <c r="D201" s="36"/>
      <c r="E201" s="36"/>
      <c r="F201" s="36"/>
      <c r="G201" s="48"/>
      <c r="H201" s="74"/>
    </row>
    <row r="202">
      <c r="A202" s="48"/>
      <c r="C202" s="79"/>
      <c r="D202" s="36"/>
      <c r="E202" s="36"/>
      <c r="F202" s="36"/>
      <c r="G202" s="48"/>
      <c r="H202" s="74"/>
    </row>
    <row r="203">
      <c r="A203" s="48"/>
      <c r="C203" s="79"/>
      <c r="D203" s="36"/>
      <c r="E203" s="36"/>
      <c r="F203" s="36"/>
      <c r="G203" s="48"/>
      <c r="H203" s="74"/>
    </row>
    <row r="204">
      <c r="A204" s="48"/>
      <c r="C204" s="79"/>
      <c r="D204" s="36"/>
      <c r="E204" s="36"/>
      <c r="F204" s="36"/>
      <c r="G204" s="48"/>
      <c r="H204" s="74"/>
    </row>
    <row r="205">
      <c r="A205" s="48"/>
      <c r="C205" s="79"/>
      <c r="D205" s="36"/>
      <c r="E205" s="36"/>
      <c r="F205" s="36"/>
      <c r="G205" s="48"/>
      <c r="H205" s="74"/>
    </row>
    <row r="206">
      <c r="A206" s="48"/>
      <c r="C206" s="79"/>
      <c r="D206" s="36"/>
      <c r="E206" s="36"/>
      <c r="F206" s="36"/>
      <c r="G206" s="48"/>
      <c r="H206" s="74"/>
    </row>
    <row r="207">
      <c r="A207" s="48"/>
      <c r="C207" s="79"/>
      <c r="D207" s="36"/>
      <c r="E207" s="36"/>
      <c r="F207" s="36"/>
      <c r="G207" s="48"/>
      <c r="H207" s="74"/>
    </row>
    <row r="208">
      <c r="A208" s="48"/>
      <c r="C208" s="79"/>
      <c r="D208" s="36"/>
      <c r="E208" s="36"/>
      <c r="F208" s="36"/>
      <c r="G208" s="48"/>
      <c r="H208" s="74"/>
    </row>
    <row r="209">
      <c r="A209" s="48"/>
      <c r="C209" s="79"/>
      <c r="D209" s="36"/>
      <c r="E209" s="36"/>
      <c r="F209" s="36"/>
      <c r="G209" s="48"/>
      <c r="H209" s="74"/>
    </row>
    <row r="210">
      <c r="A210" s="48"/>
      <c r="C210" s="79"/>
      <c r="D210" s="36"/>
      <c r="E210" s="36"/>
      <c r="F210" s="36"/>
      <c r="G210" s="48"/>
      <c r="H210" s="74"/>
    </row>
    <row r="211">
      <c r="A211" s="48"/>
      <c r="C211" s="79"/>
      <c r="D211" s="36"/>
      <c r="E211" s="36"/>
      <c r="F211" s="36"/>
      <c r="G211" s="48"/>
      <c r="H211" s="74"/>
    </row>
    <row r="212">
      <c r="A212" s="48"/>
      <c r="C212" s="79"/>
      <c r="D212" s="36"/>
      <c r="E212" s="36"/>
      <c r="F212" s="36"/>
      <c r="G212" s="48"/>
      <c r="H212" s="74"/>
    </row>
    <row r="213">
      <c r="A213" s="48"/>
      <c r="C213" s="79"/>
      <c r="D213" s="36"/>
      <c r="E213" s="36"/>
      <c r="F213" s="36"/>
      <c r="G213" s="48"/>
      <c r="H213" s="74"/>
    </row>
    <row r="214">
      <c r="A214" s="48"/>
      <c r="C214" s="79"/>
      <c r="D214" s="36"/>
      <c r="E214" s="36"/>
      <c r="F214" s="36"/>
      <c r="G214" s="48"/>
      <c r="H214" s="74"/>
    </row>
    <row r="215">
      <c r="A215" s="48"/>
      <c r="C215" s="79"/>
      <c r="D215" s="36"/>
      <c r="E215" s="36"/>
      <c r="F215" s="36"/>
      <c r="G215" s="48"/>
      <c r="H215" s="74"/>
    </row>
    <row r="216">
      <c r="A216" s="48"/>
      <c r="C216" s="79"/>
      <c r="D216" s="36"/>
      <c r="E216" s="36"/>
      <c r="F216" s="36"/>
      <c r="G216" s="48"/>
      <c r="H216" s="74"/>
    </row>
    <row r="217">
      <c r="A217" s="48"/>
      <c r="C217" s="79"/>
      <c r="D217" s="36"/>
      <c r="E217" s="36"/>
      <c r="F217" s="36"/>
      <c r="G217" s="48"/>
      <c r="H217" s="74"/>
    </row>
    <row r="218">
      <c r="A218" s="48"/>
      <c r="C218" s="79"/>
      <c r="D218" s="36"/>
      <c r="E218" s="36"/>
      <c r="F218" s="36"/>
      <c r="G218" s="48"/>
      <c r="H218" s="74"/>
    </row>
    <row r="219">
      <c r="A219" s="48"/>
      <c r="C219" s="79"/>
      <c r="D219" s="36"/>
      <c r="E219" s="36"/>
      <c r="F219" s="36"/>
      <c r="G219" s="48"/>
      <c r="H219" s="74"/>
    </row>
    <row r="220">
      <c r="A220" s="48"/>
      <c r="C220" s="79"/>
      <c r="D220" s="36"/>
      <c r="E220" s="36"/>
      <c r="F220" s="36"/>
      <c r="G220" s="48"/>
      <c r="H220" s="74"/>
    </row>
    <row r="221">
      <c r="A221" s="48"/>
      <c r="C221" s="79"/>
      <c r="D221" s="36"/>
      <c r="E221" s="36"/>
      <c r="F221" s="36"/>
      <c r="G221" s="48"/>
      <c r="H221" s="74"/>
    </row>
    <row r="222">
      <c r="A222" s="48"/>
      <c r="C222" s="79"/>
      <c r="D222" s="36"/>
      <c r="E222" s="36"/>
      <c r="F222" s="36"/>
      <c r="G222" s="48"/>
      <c r="H222" s="74"/>
    </row>
    <row r="223">
      <c r="A223" s="48"/>
      <c r="C223" s="79"/>
      <c r="D223" s="36"/>
      <c r="E223" s="36"/>
      <c r="F223" s="36"/>
      <c r="G223" s="48"/>
      <c r="H223" s="74"/>
    </row>
    <row r="224">
      <c r="A224" s="48"/>
      <c r="C224" s="79"/>
      <c r="D224" s="36"/>
      <c r="E224" s="36"/>
      <c r="F224" s="36"/>
      <c r="G224" s="48"/>
      <c r="H224" s="74"/>
    </row>
    <row r="225">
      <c r="A225" s="48"/>
      <c r="C225" s="79"/>
      <c r="D225" s="36"/>
      <c r="E225" s="36"/>
      <c r="F225" s="36"/>
      <c r="G225" s="48"/>
      <c r="H225" s="74"/>
    </row>
    <row r="226">
      <c r="A226" s="48"/>
      <c r="C226" s="79"/>
      <c r="D226" s="36"/>
      <c r="E226" s="36"/>
      <c r="F226" s="36"/>
      <c r="G226" s="48"/>
      <c r="H226" s="74"/>
    </row>
    <row r="227">
      <c r="A227" s="48"/>
      <c r="C227" s="79"/>
      <c r="D227" s="36"/>
      <c r="E227" s="36"/>
      <c r="F227" s="36"/>
      <c r="G227" s="48"/>
      <c r="H227" s="74"/>
    </row>
    <row r="228">
      <c r="A228" s="48"/>
      <c r="C228" s="79"/>
      <c r="D228" s="36"/>
      <c r="E228" s="36"/>
      <c r="F228" s="36"/>
      <c r="G228" s="48"/>
      <c r="H228" s="74"/>
    </row>
    <row r="229">
      <c r="A229" s="48"/>
      <c r="C229" s="79"/>
      <c r="D229" s="36"/>
      <c r="E229" s="36"/>
      <c r="F229" s="36"/>
      <c r="G229" s="48"/>
      <c r="H229" s="74"/>
    </row>
    <row r="230">
      <c r="A230" s="48"/>
      <c r="C230" s="79"/>
      <c r="D230" s="36"/>
      <c r="E230" s="36"/>
      <c r="F230" s="36"/>
      <c r="G230" s="48"/>
      <c r="H230" s="74"/>
    </row>
    <row r="231">
      <c r="A231" s="48"/>
      <c r="C231" s="79"/>
      <c r="D231" s="36"/>
      <c r="E231" s="36"/>
      <c r="F231" s="36"/>
      <c r="G231" s="48"/>
      <c r="H231" s="74"/>
    </row>
    <row r="232">
      <c r="A232" s="48"/>
      <c r="C232" s="79"/>
      <c r="D232" s="36"/>
      <c r="E232" s="36"/>
      <c r="F232" s="36"/>
      <c r="G232" s="48"/>
      <c r="H232" s="74"/>
    </row>
    <row r="233">
      <c r="A233" s="48"/>
      <c r="C233" s="79"/>
      <c r="D233" s="36"/>
      <c r="E233" s="36"/>
      <c r="F233" s="36"/>
      <c r="G233" s="48"/>
      <c r="H233" s="74"/>
    </row>
    <row r="234">
      <c r="A234" s="48"/>
      <c r="C234" s="79"/>
      <c r="D234" s="36"/>
      <c r="E234" s="36"/>
      <c r="F234" s="36"/>
      <c r="G234" s="48"/>
      <c r="H234" s="74"/>
    </row>
    <row r="235">
      <c r="A235" s="48"/>
      <c r="C235" s="79"/>
      <c r="D235" s="36"/>
      <c r="E235" s="36"/>
      <c r="F235" s="36"/>
      <c r="G235" s="48"/>
      <c r="H235" s="74"/>
    </row>
    <row r="236">
      <c r="A236" s="48"/>
      <c r="C236" s="79"/>
      <c r="D236" s="36"/>
      <c r="E236" s="36"/>
      <c r="F236" s="36"/>
      <c r="G236" s="48"/>
      <c r="H236" s="74"/>
    </row>
    <row r="237">
      <c r="A237" s="48"/>
      <c r="C237" s="79"/>
      <c r="D237" s="36"/>
      <c r="E237" s="36"/>
      <c r="F237" s="36"/>
      <c r="G237" s="48"/>
      <c r="H237" s="74"/>
    </row>
    <row r="238">
      <c r="A238" s="48"/>
      <c r="C238" s="79"/>
      <c r="D238" s="36"/>
      <c r="E238" s="36"/>
      <c r="F238" s="36"/>
      <c r="G238" s="48"/>
      <c r="H238" s="74"/>
    </row>
    <row r="239">
      <c r="A239" s="48"/>
      <c r="C239" s="79"/>
      <c r="D239" s="36"/>
      <c r="E239" s="36"/>
      <c r="F239" s="36"/>
      <c r="G239" s="48"/>
      <c r="H239" s="74"/>
    </row>
    <row r="240">
      <c r="A240" s="48"/>
      <c r="C240" s="79"/>
      <c r="D240" s="36"/>
      <c r="E240" s="36"/>
      <c r="F240" s="36"/>
      <c r="G240" s="48"/>
      <c r="H240" s="74"/>
    </row>
    <row r="241">
      <c r="A241" s="48"/>
      <c r="C241" s="79"/>
      <c r="D241" s="36"/>
      <c r="E241" s="36"/>
      <c r="F241" s="36"/>
      <c r="G241" s="48"/>
      <c r="H241" s="74"/>
    </row>
    <row r="242">
      <c r="A242" s="48"/>
      <c r="C242" s="79"/>
      <c r="D242" s="36"/>
      <c r="E242" s="36"/>
      <c r="F242" s="36"/>
      <c r="G242" s="48"/>
      <c r="H242" s="74"/>
    </row>
    <row r="243">
      <c r="A243" s="48"/>
      <c r="C243" s="79"/>
      <c r="D243" s="36"/>
      <c r="E243" s="36"/>
      <c r="F243" s="36"/>
      <c r="G243" s="48"/>
      <c r="H243" s="74"/>
    </row>
    <row r="244">
      <c r="A244" s="48"/>
      <c r="C244" s="79"/>
      <c r="D244" s="36"/>
      <c r="E244" s="36"/>
      <c r="F244" s="36"/>
      <c r="G244" s="48"/>
      <c r="H244" s="74"/>
    </row>
    <row r="245">
      <c r="A245" s="48"/>
      <c r="C245" s="79"/>
      <c r="D245" s="36"/>
      <c r="E245" s="36"/>
      <c r="F245" s="36"/>
      <c r="G245" s="48"/>
      <c r="H245" s="74"/>
    </row>
    <row r="246">
      <c r="A246" s="48"/>
      <c r="C246" s="79"/>
      <c r="D246" s="36"/>
      <c r="E246" s="36"/>
      <c r="F246" s="36"/>
      <c r="G246" s="48"/>
      <c r="H246" s="74"/>
    </row>
    <row r="247">
      <c r="A247" s="48"/>
      <c r="C247" s="79"/>
      <c r="D247" s="36"/>
      <c r="E247" s="36"/>
      <c r="F247" s="36"/>
      <c r="G247" s="48"/>
      <c r="H247" s="74"/>
    </row>
    <row r="248">
      <c r="A248" s="48"/>
      <c r="C248" s="79"/>
      <c r="D248" s="36"/>
      <c r="E248" s="36"/>
      <c r="F248" s="36"/>
      <c r="G248" s="48"/>
      <c r="H248" s="74"/>
    </row>
    <row r="249">
      <c r="A249" s="48"/>
      <c r="C249" s="79"/>
      <c r="D249" s="36"/>
      <c r="E249" s="36"/>
      <c r="F249" s="36"/>
      <c r="G249" s="48"/>
      <c r="H249" s="74"/>
    </row>
    <row r="250">
      <c r="A250" s="48"/>
      <c r="C250" s="79"/>
      <c r="D250" s="36"/>
      <c r="E250" s="36"/>
      <c r="F250" s="36"/>
      <c r="G250" s="48"/>
      <c r="H250" s="74"/>
    </row>
    <row r="251">
      <c r="A251" s="48"/>
      <c r="C251" s="79"/>
      <c r="D251" s="36"/>
      <c r="E251" s="36"/>
      <c r="F251" s="36"/>
      <c r="G251" s="48"/>
      <c r="H251" s="74"/>
    </row>
    <row r="252">
      <c r="A252" s="48"/>
      <c r="C252" s="79"/>
      <c r="D252" s="36"/>
      <c r="E252" s="36"/>
      <c r="F252" s="36"/>
      <c r="G252" s="48"/>
      <c r="H252" s="74"/>
    </row>
    <row r="253">
      <c r="A253" s="48"/>
      <c r="C253" s="79"/>
      <c r="D253" s="36"/>
      <c r="E253" s="36"/>
      <c r="F253" s="36"/>
      <c r="G253" s="48"/>
      <c r="H253" s="74"/>
    </row>
    <row r="254">
      <c r="A254" s="48"/>
      <c r="C254" s="79"/>
      <c r="D254" s="36"/>
      <c r="E254" s="36"/>
      <c r="F254" s="36"/>
      <c r="G254" s="48"/>
      <c r="H254" s="74"/>
    </row>
    <row r="255">
      <c r="A255" s="48"/>
      <c r="C255" s="79"/>
      <c r="D255" s="36"/>
      <c r="E255" s="36"/>
      <c r="F255" s="36"/>
      <c r="G255" s="48"/>
      <c r="H255" s="74"/>
    </row>
    <row r="256">
      <c r="A256" s="48"/>
      <c r="C256" s="79"/>
      <c r="D256" s="36"/>
      <c r="E256" s="36"/>
      <c r="F256" s="36"/>
      <c r="G256" s="48"/>
      <c r="H256" s="74"/>
    </row>
    <row r="257">
      <c r="A257" s="48"/>
      <c r="C257" s="79"/>
      <c r="D257" s="36"/>
      <c r="E257" s="36"/>
      <c r="F257" s="36"/>
      <c r="G257" s="48"/>
      <c r="H257" s="74"/>
    </row>
    <row r="258">
      <c r="A258" s="48"/>
      <c r="C258" s="79"/>
      <c r="D258" s="36"/>
      <c r="E258" s="36"/>
      <c r="F258" s="36"/>
      <c r="G258" s="48"/>
      <c r="H258" s="74"/>
    </row>
    <row r="259">
      <c r="A259" s="48"/>
      <c r="C259" s="79"/>
      <c r="D259" s="36"/>
      <c r="E259" s="36"/>
      <c r="F259" s="36"/>
      <c r="G259" s="48"/>
      <c r="H259" s="74"/>
    </row>
    <row r="260">
      <c r="A260" s="48"/>
      <c r="C260" s="79"/>
      <c r="D260" s="36"/>
      <c r="E260" s="36"/>
      <c r="F260" s="36"/>
      <c r="G260" s="48"/>
      <c r="H260" s="74"/>
    </row>
    <row r="261">
      <c r="A261" s="48"/>
      <c r="C261" s="79"/>
      <c r="D261" s="36"/>
      <c r="E261" s="36"/>
      <c r="F261" s="36"/>
      <c r="G261" s="48"/>
      <c r="H261" s="74"/>
    </row>
    <row r="262">
      <c r="A262" s="48"/>
      <c r="C262" s="79"/>
      <c r="D262" s="36"/>
      <c r="E262" s="36"/>
      <c r="F262" s="36"/>
      <c r="G262" s="48"/>
      <c r="H262" s="74"/>
    </row>
    <row r="263">
      <c r="A263" s="48"/>
      <c r="C263" s="79"/>
      <c r="D263" s="36"/>
      <c r="E263" s="36"/>
      <c r="F263" s="36"/>
      <c r="G263" s="48"/>
      <c r="H263" s="74"/>
    </row>
    <row r="264">
      <c r="A264" s="48"/>
      <c r="C264" s="79"/>
      <c r="D264" s="36"/>
      <c r="E264" s="36"/>
      <c r="F264" s="36"/>
      <c r="G264" s="48"/>
      <c r="H264" s="74"/>
    </row>
    <row r="265">
      <c r="A265" s="48"/>
      <c r="C265" s="79"/>
      <c r="D265" s="36"/>
      <c r="E265" s="36"/>
      <c r="F265" s="36"/>
      <c r="G265" s="48"/>
      <c r="H265" s="74"/>
    </row>
    <row r="266">
      <c r="A266" s="48"/>
      <c r="C266" s="79"/>
      <c r="D266" s="36"/>
      <c r="E266" s="36"/>
      <c r="F266" s="36"/>
      <c r="G266" s="48"/>
      <c r="H266" s="74"/>
    </row>
    <row r="267">
      <c r="A267" s="48"/>
      <c r="C267" s="79"/>
      <c r="D267" s="36"/>
      <c r="E267" s="36"/>
      <c r="F267" s="36"/>
      <c r="G267" s="48"/>
      <c r="H267" s="74"/>
    </row>
    <row r="268">
      <c r="A268" s="48"/>
      <c r="C268" s="79"/>
      <c r="D268" s="36"/>
      <c r="E268" s="36"/>
      <c r="F268" s="36"/>
      <c r="G268" s="48"/>
      <c r="H268" s="74"/>
    </row>
    <row r="269">
      <c r="A269" s="48"/>
      <c r="C269" s="79"/>
      <c r="D269" s="36"/>
      <c r="E269" s="36"/>
      <c r="F269" s="36"/>
      <c r="G269" s="48"/>
      <c r="H269" s="74"/>
    </row>
    <row r="270">
      <c r="A270" s="48"/>
      <c r="C270" s="79"/>
      <c r="D270" s="36"/>
      <c r="E270" s="36"/>
      <c r="F270" s="36"/>
      <c r="G270" s="48"/>
      <c r="H270" s="74"/>
    </row>
    <row r="271">
      <c r="A271" s="48"/>
      <c r="C271" s="79"/>
      <c r="D271" s="36"/>
      <c r="E271" s="36"/>
      <c r="F271" s="36"/>
      <c r="G271" s="48"/>
      <c r="H271" s="74"/>
    </row>
    <row r="272">
      <c r="A272" s="48"/>
      <c r="C272" s="79"/>
      <c r="D272" s="36"/>
      <c r="E272" s="36"/>
      <c r="F272" s="36"/>
      <c r="G272" s="48"/>
      <c r="H272" s="74"/>
    </row>
    <row r="273">
      <c r="A273" s="48"/>
      <c r="C273" s="79"/>
      <c r="D273" s="36"/>
      <c r="E273" s="36"/>
      <c r="F273" s="36"/>
      <c r="G273" s="48"/>
      <c r="H273" s="74"/>
    </row>
    <row r="274">
      <c r="A274" s="48"/>
      <c r="C274" s="79"/>
      <c r="D274" s="36"/>
      <c r="E274" s="36"/>
      <c r="F274" s="36"/>
      <c r="G274" s="48"/>
      <c r="H274" s="74"/>
    </row>
    <row r="275">
      <c r="A275" s="48"/>
      <c r="C275" s="79"/>
      <c r="D275" s="36"/>
      <c r="E275" s="36"/>
      <c r="F275" s="36"/>
      <c r="G275" s="48"/>
      <c r="H275" s="74"/>
    </row>
    <row r="276">
      <c r="A276" s="48"/>
      <c r="C276" s="79"/>
      <c r="D276" s="36"/>
      <c r="E276" s="36"/>
      <c r="F276" s="36"/>
      <c r="G276" s="48"/>
      <c r="H276" s="74"/>
    </row>
    <row r="277">
      <c r="A277" s="48"/>
      <c r="C277" s="79"/>
      <c r="D277" s="36"/>
      <c r="E277" s="36"/>
      <c r="F277" s="36"/>
      <c r="G277" s="48"/>
      <c r="H277" s="74"/>
    </row>
    <row r="278">
      <c r="A278" s="48"/>
      <c r="C278" s="79"/>
      <c r="D278" s="36"/>
      <c r="E278" s="36"/>
      <c r="F278" s="36"/>
      <c r="G278" s="48"/>
      <c r="H278" s="74"/>
    </row>
    <row r="279">
      <c r="A279" s="48"/>
      <c r="C279" s="79"/>
      <c r="D279" s="36"/>
      <c r="E279" s="36"/>
      <c r="F279" s="36"/>
      <c r="G279" s="48"/>
      <c r="H279" s="74"/>
    </row>
    <row r="280">
      <c r="A280" s="48"/>
      <c r="C280" s="79"/>
      <c r="D280" s="36"/>
      <c r="E280" s="36"/>
      <c r="F280" s="36"/>
      <c r="G280" s="48"/>
      <c r="H280" s="74"/>
    </row>
    <row r="281">
      <c r="A281" s="48"/>
      <c r="C281" s="79"/>
      <c r="D281" s="36"/>
      <c r="E281" s="36"/>
      <c r="F281" s="36"/>
      <c r="G281" s="48"/>
      <c r="H281" s="74"/>
    </row>
    <row r="282">
      <c r="A282" s="48"/>
      <c r="C282" s="79"/>
      <c r="D282" s="36"/>
      <c r="E282" s="36"/>
      <c r="F282" s="36"/>
      <c r="G282" s="48"/>
      <c r="H282" s="74"/>
    </row>
    <row r="283">
      <c r="A283" s="48"/>
      <c r="C283" s="79"/>
      <c r="D283" s="36"/>
      <c r="E283" s="36"/>
      <c r="F283" s="36"/>
      <c r="G283" s="48"/>
      <c r="H283" s="74"/>
    </row>
    <row r="284">
      <c r="A284" s="48"/>
      <c r="C284" s="79"/>
      <c r="D284" s="36"/>
      <c r="E284" s="36"/>
      <c r="F284" s="36"/>
      <c r="G284" s="48"/>
      <c r="H284" s="74"/>
    </row>
    <row r="285">
      <c r="A285" s="48"/>
      <c r="C285" s="79"/>
      <c r="D285" s="36"/>
      <c r="E285" s="36"/>
      <c r="F285" s="36"/>
      <c r="G285" s="48"/>
      <c r="H285" s="74"/>
    </row>
    <row r="286">
      <c r="A286" s="48"/>
      <c r="C286" s="79"/>
      <c r="D286" s="36"/>
      <c r="E286" s="36"/>
      <c r="F286" s="36"/>
      <c r="G286" s="48"/>
      <c r="H286" s="74"/>
    </row>
    <row r="287">
      <c r="A287" s="48"/>
      <c r="C287" s="79"/>
      <c r="D287" s="36"/>
      <c r="E287" s="36"/>
      <c r="F287" s="36"/>
      <c r="G287" s="48"/>
      <c r="H287" s="74"/>
    </row>
    <row r="288">
      <c r="A288" s="48"/>
      <c r="C288" s="79"/>
      <c r="D288" s="36"/>
      <c r="E288" s="36"/>
      <c r="F288" s="36"/>
      <c r="G288" s="48"/>
      <c r="H288" s="74"/>
    </row>
    <row r="289">
      <c r="A289" s="48"/>
      <c r="C289" s="79"/>
      <c r="D289" s="36"/>
      <c r="E289" s="36"/>
      <c r="F289" s="36"/>
      <c r="G289" s="48"/>
      <c r="H289" s="74"/>
    </row>
    <row r="290">
      <c r="A290" s="48"/>
      <c r="C290" s="79"/>
      <c r="D290" s="36"/>
      <c r="E290" s="36"/>
      <c r="F290" s="36"/>
      <c r="G290" s="48"/>
      <c r="H290" s="74"/>
    </row>
    <row r="291">
      <c r="A291" s="48"/>
      <c r="C291" s="79"/>
      <c r="D291" s="36"/>
      <c r="E291" s="36"/>
      <c r="F291" s="36"/>
      <c r="G291" s="48"/>
      <c r="H291" s="74"/>
    </row>
    <row r="292">
      <c r="A292" s="48"/>
      <c r="C292" s="79"/>
      <c r="D292" s="36"/>
      <c r="E292" s="36"/>
      <c r="F292" s="36"/>
      <c r="G292" s="48"/>
      <c r="H292" s="74"/>
    </row>
    <row r="293">
      <c r="A293" s="48"/>
      <c r="C293" s="79"/>
      <c r="D293" s="36"/>
      <c r="E293" s="36"/>
      <c r="F293" s="36"/>
      <c r="G293" s="48"/>
      <c r="H293" s="74"/>
    </row>
    <row r="294">
      <c r="A294" s="48"/>
      <c r="C294" s="79"/>
      <c r="D294" s="36"/>
      <c r="E294" s="36"/>
      <c r="F294" s="36"/>
      <c r="G294" s="48"/>
      <c r="H294" s="74"/>
    </row>
    <row r="295">
      <c r="A295" s="48"/>
      <c r="C295" s="79"/>
      <c r="D295" s="36"/>
      <c r="E295" s="36"/>
      <c r="F295" s="36"/>
      <c r="G295" s="48"/>
      <c r="H295" s="74"/>
    </row>
    <row r="296">
      <c r="A296" s="48"/>
      <c r="C296" s="79"/>
      <c r="D296" s="36"/>
      <c r="E296" s="36"/>
      <c r="F296" s="36"/>
      <c r="G296" s="48"/>
      <c r="H296" s="74"/>
    </row>
    <row r="297">
      <c r="A297" s="48"/>
      <c r="C297" s="79"/>
      <c r="D297" s="36"/>
      <c r="E297" s="36"/>
      <c r="F297" s="36"/>
      <c r="G297" s="48"/>
      <c r="H297" s="74"/>
    </row>
    <row r="298">
      <c r="A298" s="48"/>
      <c r="C298" s="79"/>
      <c r="D298" s="36"/>
      <c r="E298" s="36"/>
      <c r="F298" s="36"/>
      <c r="G298" s="48"/>
      <c r="H298" s="74"/>
    </row>
    <row r="299">
      <c r="A299" s="48"/>
      <c r="C299" s="79"/>
      <c r="D299" s="36"/>
      <c r="E299" s="36"/>
      <c r="F299" s="36"/>
      <c r="G299" s="48"/>
      <c r="H299" s="74"/>
    </row>
    <row r="300">
      <c r="A300" s="48"/>
      <c r="C300" s="79"/>
      <c r="D300" s="36"/>
      <c r="E300" s="36"/>
      <c r="F300" s="36"/>
      <c r="G300" s="48"/>
      <c r="H300" s="74"/>
    </row>
    <row r="301">
      <c r="A301" s="48"/>
      <c r="C301" s="79"/>
      <c r="D301" s="36"/>
      <c r="E301" s="36"/>
      <c r="F301" s="36"/>
      <c r="G301" s="48"/>
      <c r="H301" s="74"/>
    </row>
    <row r="302">
      <c r="A302" s="48"/>
      <c r="C302" s="79"/>
      <c r="D302" s="36"/>
      <c r="E302" s="36"/>
      <c r="F302" s="36"/>
      <c r="G302" s="48"/>
      <c r="H302" s="74"/>
    </row>
    <row r="303">
      <c r="A303" s="48"/>
      <c r="C303" s="79"/>
      <c r="D303" s="36"/>
      <c r="E303" s="36"/>
      <c r="F303" s="36"/>
      <c r="G303" s="48"/>
      <c r="H303" s="74"/>
    </row>
    <row r="304">
      <c r="A304" s="48"/>
      <c r="C304" s="79"/>
      <c r="D304" s="36"/>
      <c r="E304" s="36"/>
      <c r="F304" s="36"/>
      <c r="G304" s="48"/>
      <c r="H304" s="74"/>
    </row>
    <row r="305">
      <c r="A305" s="48"/>
      <c r="C305" s="79"/>
      <c r="D305" s="36"/>
      <c r="E305" s="36"/>
      <c r="F305" s="36"/>
      <c r="G305" s="48"/>
      <c r="H305" s="74"/>
    </row>
    <row r="306">
      <c r="A306" s="48"/>
      <c r="C306" s="79"/>
      <c r="D306" s="36"/>
      <c r="E306" s="36"/>
      <c r="F306" s="36"/>
      <c r="G306" s="48"/>
      <c r="H306" s="74"/>
    </row>
    <row r="307">
      <c r="A307" s="48"/>
      <c r="C307" s="79"/>
      <c r="D307" s="36"/>
      <c r="E307" s="36"/>
      <c r="F307" s="36"/>
      <c r="G307" s="48"/>
      <c r="H307" s="74"/>
    </row>
    <row r="308">
      <c r="A308" s="48"/>
      <c r="C308" s="79"/>
      <c r="D308" s="36"/>
      <c r="E308" s="36"/>
      <c r="F308" s="36"/>
      <c r="G308" s="48"/>
      <c r="H308" s="74"/>
    </row>
    <row r="309">
      <c r="A309" s="48"/>
      <c r="C309" s="79"/>
      <c r="D309" s="36"/>
      <c r="E309" s="36"/>
      <c r="F309" s="36"/>
      <c r="G309" s="48"/>
      <c r="H309" s="74"/>
    </row>
    <row r="310">
      <c r="A310" s="48"/>
      <c r="C310" s="79"/>
      <c r="D310" s="36"/>
      <c r="E310" s="36"/>
      <c r="F310" s="36"/>
      <c r="G310" s="48"/>
      <c r="H310" s="74"/>
    </row>
    <row r="311">
      <c r="A311" s="48"/>
      <c r="C311" s="79"/>
      <c r="D311" s="36"/>
      <c r="E311" s="36"/>
      <c r="F311" s="36"/>
      <c r="G311" s="48"/>
      <c r="H311" s="74"/>
    </row>
    <row r="312">
      <c r="A312" s="48"/>
      <c r="C312" s="79"/>
      <c r="D312" s="36"/>
      <c r="E312" s="36"/>
      <c r="F312" s="36"/>
      <c r="G312" s="48"/>
      <c r="H312" s="74"/>
    </row>
    <row r="313">
      <c r="A313" s="48"/>
      <c r="C313" s="79"/>
      <c r="D313" s="36"/>
      <c r="E313" s="36"/>
      <c r="F313" s="36"/>
      <c r="G313" s="48"/>
      <c r="H313" s="74"/>
    </row>
    <row r="314">
      <c r="A314" s="48"/>
      <c r="C314" s="79"/>
      <c r="D314" s="36"/>
      <c r="E314" s="36"/>
      <c r="F314" s="36"/>
      <c r="G314" s="48"/>
      <c r="H314" s="74"/>
    </row>
    <row r="315">
      <c r="A315" s="48"/>
      <c r="C315" s="79"/>
      <c r="D315" s="36"/>
      <c r="E315" s="36"/>
      <c r="F315" s="36"/>
      <c r="G315" s="48"/>
      <c r="H315" s="74"/>
    </row>
    <row r="316">
      <c r="A316" s="48"/>
      <c r="C316" s="79"/>
      <c r="D316" s="36"/>
      <c r="E316" s="36"/>
      <c r="F316" s="36"/>
      <c r="G316" s="48"/>
      <c r="H316" s="74"/>
    </row>
    <row r="317">
      <c r="A317" s="48"/>
      <c r="C317" s="79"/>
      <c r="D317" s="36"/>
      <c r="E317" s="36"/>
      <c r="F317" s="36"/>
      <c r="G317" s="48"/>
      <c r="H317" s="74"/>
    </row>
    <row r="318">
      <c r="A318" s="48"/>
      <c r="C318" s="79"/>
      <c r="D318" s="36"/>
      <c r="E318" s="36"/>
      <c r="F318" s="36"/>
      <c r="G318" s="48"/>
      <c r="H318" s="74"/>
    </row>
    <row r="319">
      <c r="A319" s="48"/>
      <c r="C319" s="79"/>
      <c r="D319" s="36"/>
      <c r="E319" s="36"/>
      <c r="F319" s="36"/>
      <c r="G319" s="48"/>
      <c r="H319" s="74"/>
    </row>
    <row r="320">
      <c r="A320" s="48"/>
      <c r="C320" s="79"/>
      <c r="D320" s="36"/>
      <c r="E320" s="36"/>
      <c r="F320" s="36"/>
      <c r="G320" s="48"/>
      <c r="H320" s="74"/>
    </row>
    <row r="321">
      <c r="A321" s="48"/>
      <c r="C321" s="79"/>
      <c r="D321" s="36"/>
      <c r="E321" s="36"/>
      <c r="F321" s="36"/>
      <c r="G321" s="48"/>
      <c r="H321" s="74"/>
    </row>
    <row r="322">
      <c r="A322" s="48"/>
      <c r="C322" s="79"/>
      <c r="D322" s="36"/>
      <c r="E322" s="36"/>
      <c r="F322" s="36"/>
      <c r="G322" s="48"/>
      <c r="H322" s="74"/>
    </row>
    <row r="323">
      <c r="A323" s="48"/>
      <c r="C323" s="79"/>
      <c r="D323" s="36"/>
      <c r="E323" s="36"/>
      <c r="F323" s="36"/>
      <c r="G323" s="48"/>
      <c r="H323" s="74"/>
    </row>
    <row r="324">
      <c r="A324" s="48"/>
      <c r="C324" s="79"/>
      <c r="D324" s="36"/>
      <c r="E324" s="36"/>
      <c r="F324" s="36"/>
      <c r="G324" s="48"/>
      <c r="H324" s="74"/>
    </row>
    <row r="325">
      <c r="A325" s="48"/>
      <c r="C325" s="79"/>
      <c r="D325" s="36"/>
      <c r="E325" s="36"/>
      <c r="F325" s="36"/>
      <c r="G325" s="48"/>
      <c r="H325" s="74"/>
    </row>
    <row r="326">
      <c r="A326" s="48"/>
      <c r="C326" s="79"/>
      <c r="D326" s="36"/>
      <c r="E326" s="36"/>
      <c r="F326" s="36"/>
      <c r="G326" s="48"/>
      <c r="H326" s="74"/>
    </row>
    <row r="327">
      <c r="A327" s="48"/>
      <c r="C327" s="79"/>
      <c r="D327" s="36"/>
      <c r="E327" s="36"/>
      <c r="F327" s="36"/>
      <c r="G327" s="48"/>
      <c r="H327" s="74"/>
    </row>
    <row r="328">
      <c r="A328" s="48"/>
      <c r="C328" s="79"/>
      <c r="D328" s="36"/>
      <c r="E328" s="36"/>
      <c r="F328" s="36"/>
      <c r="G328" s="48"/>
      <c r="H328" s="74"/>
    </row>
    <row r="329">
      <c r="A329" s="48"/>
      <c r="C329" s="79"/>
      <c r="D329" s="36"/>
      <c r="E329" s="36"/>
      <c r="F329" s="36"/>
      <c r="G329" s="48"/>
      <c r="H329" s="74"/>
    </row>
    <row r="330">
      <c r="A330" s="48"/>
      <c r="C330" s="79"/>
      <c r="D330" s="36"/>
      <c r="E330" s="36"/>
      <c r="F330" s="36"/>
      <c r="G330" s="48"/>
      <c r="H330" s="74"/>
    </row>
    <row r="331">
      <c r="A331" s="48"/>
      <c r="C331" s="79"/>
      <c r="D331" s="36"/>
      <c r="E331" s="36"/>
      <c r="F331" s="36"/>
      <c r="G331" s="48"/>
      <c r="H331" s="74"/>
    </row>
    <row r="332">
      <c r="A332" s="48"/>
      <c r="C332" s="79"/>
      <c r="D332" s="36"/>
      <c r="E332" s="36"/>
      <c r="F332" s="36"/>
      <c r="G332" s="48"/>
      <c r="H332" s="74"/>
    </row>
    <row r="333">
      <c r="A333" s="48"/>
      <c r="C333" s="79"/>
      <c r="D333" s="36"/>
      <c r="E333" s="36"/>
      <c r="F333" s="36"/>
      <c r="G333" s="48"/>
      <c r="H333" s="74"/>
    </row>
    <row r="334">
      <c r="A334" s="48"/>
      <c r="C334" s="79"/>
      <c r="D334" s="36"/>
      <c r="E334" s="36"/>
      <c r="F334" s="36"/>
      <c r="G334" s="48"/>
      <c r="H334" s="74"/>
    </row>
    <row r="335">
      <c r="A335" s="48"/>
      <c r="C335" s="79"/>
      <c r="D335" s="36"/>
      <c r="E335" s="36"/>
      <c r="F335" s="36"/>
      <c r="G335" s="48"/>
      <c r="H335" s="74"/>
    </row>
    <row r="336">
      <c r="A336" s="48"/>
      <c r="C336" s="79"/>
      <c r="D336" s="36"/>
      <c r="E336" s="36"/>
      <c r="F336" s="36"/>
      <c r="G336" s="48"/>
      <c r="H336" s="74"/>
    </row>
    <row r="337">
      <c r="A337" s="48"/>
      <c r="C337" s="79"/>
      <c r="D337" s="36"/>
      <c r="E337" s="36"/>
      <c r="F337" s="36"/>
      <c r="G337" s="48"/>
      <c r="H337" s="74"/>
    </row>
    <row r="338">
      <c r="A338" s="48"/>
      <c r="C338" s="79"/>
      <c r="D338" s="36"/>
      <c r="E338" s="36"/>
      <c r="F338" s="36"/>
      <c r="G338" s="48"/>
      <c r="H338" s="74"/>
    </row>
    <row r="339">
      <c r="A339" s="48"/>
      <c r="C339" s="79"/>
      <c r="D339" s="36"/>
      <c r="E339" s="36"/>
      <c r="F339" s="36"/>
      <c r="G339" s="48"/>
      <c r="H339" s="74"/>
    </row>
    <row r="340">
      <c r="A340" s="48"/>
      <c r="C340" s="79"/>
      <c r="D340" s="36"/>
      <c r="E340" s="36"/>
      <c r="F340" s="36"/>
      <c r="G340" s="48"/>
      <c r="H340" s="74"/>
    </row>
    <row r="341">
      <c r="A341" s="48"/>
      <c r="C341" s="79"/>
      <c r="D341" s="36"/>
      <c r="E341" s="36"/>
      <c r="F341" s="36"/>
      <c r="G341" s="48"/>
      <c r="H341" s="74"/>
    </row>
    <row r="342">
      <c r="A342" s="48"/>
      <c r="C342" s="79"/>
      <c r="D342" s="36"/>
      <c r="E342" s="36"/>
      <c r="F342" s="36"/>
      <c r="G342" s="48"/>
      <c r="H342" s="74"/>
    </row>
    <row r="343">
      <c r="A343" s="48"/>
      <c r="C343" s="79"/>
      <c r="D343" s="36"/>
      <c r="E343" s="36"/>
      <c r="F343" s="36"/>
      <c r="G343" s="48"/>
      <c r="H343" s="74"/>
    </row>
    <row r="344">
      <c r="A344" s="48"/>
      <c r="C344" s="79"/>
      <c r="D344" s="36"/>
      <c r="E344" s="36"/>
      <c r="F344" s="36"/>
      <c r="G344" s="48"/>
      <c r="H344" s="74"/>
    </row>
    <row r="345">
      <c r="A345" s="48"/>
      <c r="C345" s="79"/>
      <c r="D345" s="36"/>
      <c r="E345" s="36"/>
      <c r="F345" s="36"/>
      <c r="G345" s="48"/>
      <c r="H345" s="74"/>
    </row>
    <row r="346">
      <c r="A346" s="48"/>
      <c r="C346" s="79"/>
      <c r="D346" s="36"/>
      <c r="E346" s="36"/>
      <c r="F346" s="36"/>
      <c r="G346" s="48"/>
      <c r="H346" s="74"/>
    </row>
    <row r="347">
      <c r="A347" s="48"/>
      <c r="C347" s="79"/>
      <c r="D347" s="36"/>
      <c r="E347" s="36"/>
      <c r="F347" s="36"/>
      <c r="G347" s="48"/>
      <c r="H347" s="74"/>
    </row>
    <row r="348">
      <c r="A348" s="48"/>
      <c r="C348" s="79"/>
      <c r="D348" s="36"/>
      <c r="E348" s="36"/>
      <c r="F348" s="36"/>
      <c r="G348" s="48"/>
      <c r="H348" s="74"/>
    </row>
    <row r="349">
      <c r="A349" s="48"/>
      <c r="C349" s="79"/>
      <c r="D349" s="36"/>
      <c r="E349" s="36"/>
      <c r="F349" s="36"/>
      <c r="G349" s="48"/>
      <c r="H349" s="74"/>
    </row>
    <row r="350">
      <c r="A350" s="48"/>
      <c r="C350" s="79"/>
      <c r="D350" s="36"/>
      <c r="E350" s="36"/>
      <c r="F350" s="36"/>
      <c r="G350" s="48"/>
      <c r="H350" s="74"/>
    </row>
    <row r="351">
      <c r="A351" s="48"/>
      <c r="C351" s="79"/>
      <c r="D351" s="36"/>
      <c r="E351" s="36"/>
      <c r="F351" s="36"/>
      <c r="G351" s="48"/>
      <c r="H351" s="74"/>
    </row>
    <row r="352">
      <c r="A352" s="48"/>
      <c r="C352" s="79"/>
      <c r="D352" s="36"/>
      <c r="E352" s="36"/>
      <c r="F352" s="36"/>
      <c r="G352" s="48"/>
      <c r="H352" s="74"/>
    </row>
    <row r="353">
      <c r="A353" s="48"/>
      <c r="C353" s="79"/>
      <c r="D353" s="36"/>
      <c r="E353" s="36"/>
      <c r="F353" s="36"/>
      <c r="G353" s="48"/>
      <c r="H353" s="74"/>
    </row>
    <row r="354">
      <c r="A354" s="48"/>
      <c r="C354" s="79"/>
      <c r="D354" s="36"/>
      <c r="E354" s="36"/>
      <c r="F354" s="36"/>
      <c r="G354" s="48"/>
      <c r="H354" s="74"/>
    </row>
    <row r="355">
      <c r="A355" s="48"/>
      <c r="C355" s="79"/>
      <c r="D355" s="36"/>
      <c r="E355" s="36"/>
      <c r="F355" s="36"/>
      <c r="G355" s="48"/>
      <c r="H355" s="74"/>
    </row>
    <row r="356">
      <c r="A356" s="48"/>
      <c r="C356" s="79"/>
      <c r="D356" s="36"/>
      <c r="E356" s="36"/>
      <c r="F356" s="36"/>
      <c r="G356" s="48"/>
      <c r="H356" s="74"/>
    </row>
    <row r="357">
      <c r="A357" s="48"/>
      <c r="C357" s="79"/>
      <c r="D357" s="36"/>
      <c r="E357" s="36"/>
      <c r="F357" s="36"/>
      <c r="G357" s="48"/>
      <c r="H357" s="74"/>
    </row>
    <row r="358">
      <c r="A358" s="48"/>
      <c r="C358" s="79"/>
      <c r="D358" s="36"/>
      <c r="E358" s="36"/>
      <c r="F358" s="36"/>
      <c r="G358" s="48"/>
      <c r="H358" s="74"/>
    </row>
    <row r="359">
      <c r="A359" s="48"/>
      <c r="C359" s="79"/>
      <c r="D359" s="36"/>
      <c r="E359" s="36"/>
      <c r="F359" s="36"/>
      <c r="G359" s="48"/>
      <c r="H359" s="74"/>
    </row>
    <row r="360">
      <c r="A360" s="48"/>
      <c r="C360" s="79"/>
      <c r="D360" s="36"/>
      <c r="E360" s="36"/>
      <c r="F360" s="36"/>
      <c r="G360" s="48"/>
      <c r="H360" s="74"/>
    </row>
    <row r="361">
      <c r="A361" s="48"/>
      <c r="C361" s="79"/>
      <c r="D361" s="36"/>
      <c r="E361" s="36"/>
      <c r="F361" s="36"/>
      <c r="G361" s="48"/>
      <c r="H361" s="74"/>
    </row>
    <row r="362">
      <c r="A362" s="48"/>
      <c r="C362" s="79"/>
      <c r="D362" s="36"/>
      <c r="E362" s="36"/>
      <c r="F362" s="36"/>
      <c r="G362" s="48"/>
      <c r="H362" s="74"/>
    </row>
    <row r="363">
      <c r="A363" s="48"/>
      <c r="C363" s="79"/>
      <c r="D363" s="36"/>
      <c r="E363" s="36"/>
      <c r="F363" s="36"/>
      <c r="G363" s="48"/>
      <c r="H363" s="74"/>
    </row>
    <row r="364">
      <c r="A364" s="48"/>
      <c r="C364" s="79"/>
      <c r="D364" s="36"/>
      <c r="E364" s="36"/>
      <c r="F364" s="36"/>
      <c r="G364" s="48"/>
      <c r="H364" s="74"/>
    </row>
    <row r="365">
      <c r="A365" s="48"/>
      <c r="C365" s="79"/>
      <c r="D365" s="36"/>
      <c r="E365" s="36"/>
      <c r="F365" s="36"/>
      <c r="G365" s="48"/>
      <c r="H365" s="74"/>
    </row>
    <row r="366">
      <c r="A366" s="48"/>
      <c r="C366" s="79"/>
      <c r="D366" s="36"/>
      <c r="E366" s="36"/>
      <c r="F366" s="36"/>
      <c r="G366" s="48"/>
      <c r="H366" s="74"/>
    </row>
    <row r="367">
      <c r="A367" s="48"/>
      <c r="C367" s="79"/>
      <c r="D367" s="36"/>
      <c r="E367" s="36"/>
      <c r="F367" s="36"/>
      <c r="G367" s="48"/>
      <c r="H367" s="74"/>
    </row>
    <row r="368">
      <c r="A368" s="48"/>
      <c r="C368" s="79"/>
      <c r="D368" s="36"/>
      <c r="E368" s="36"/>
      <c r="F368" s="36"/>
      <c r="G368" s="48"/>
      <c r="H368" s="74"/>
    </row>
    <row r="369">
      <c r="A369" s="48"/>
      <c r="C369" s="79"/>
      <c r="D369" s="36"/>
      <c r="E369" s="36"/>
      <c r="F369" s="36"/>
      <c r="G369" s="48"/>
      <c r="H369" s="74"/>
    </row>
    <row r="370">
      <c r="A370" s="48"/>
      <c r="C370" s="79"/>
      <c r="D370" s="36"/>
      <c r="E370" s="36"/>
      <c r="F370" s="36"/>
      <c r="G370" s="48"/>
      <c r="H370" s="74"/>
    </row>
    <row r="371">
      <c r="A371" s="48"/>
      <c r="C371" s="79"/>
      <c r="D371" s="36"/>
      <c r="E371" s="36"/>
      <c r="F371" s="36"/>
      <c r="G371" s="48"/>
      <c r="H371" s="74"/>
    </row>
    <row r="372">
      <c r="A372" s="48"/>
      <c r="C372" s="79"/>
      <c r="D372" s="36"/>
      <c r="E372" s="36"/>
      <c r="F372" s="36"/>
      <c r="G372" s="48"/>
      <c r="H372" s="74"/>
    </row>
    <row r="373">
      <c r="A373" s="48"/>
      <c r="C373" s="79"/>
      <c r="D373" s="36"/>
      <c r="E373" s="36"/>
      <c r="F373" s="36"/>
      <c r="G373" s="48"/>
      <c r="H373" s="74"/>
    </row>
    <row r="374">
      <c r="A374" s="48"/>
      <c r="C374" s="79"/>
      <c r="D374" s="36"/>
      <c r="E374" s="36"/>
      <c r="F374" s="36"/>
      <c r="G374" s="48"/>
      <c r="H374" s="74"/>
    </row>
    <row r="375">
      <c r="A375" s="48"/>
      <c r="C375" s="79"/>
      <c r="D375" s="36"/>
      <c r="E375" s="36"/>
      <c r="F375" s="36"/>
      <c r="G375" s="48"/>
      <c r="H375" s="74"/>
    </row>
    <row r="376">
      <c r="A376" s="48"/>
      <c r="C376" s="79"/>
      <c r="D376" s="36"/>
      <c r="E376" s="36"/>
      <c r="F376" s="36"/>
      <c r="G376" s="48"/>
      <c r="H376" s="74"/>
    </row>
    <row r="377">
      <c r="A377" s="48"/>
      <c r="C377" s="79"/>
      <c r="D377" s="36"/>
      <c r="E377" s="36"/>
      <c r="F377" s="36"/>
      <c r="G377" s="48"/>
      <c r="H377" s="74"/>
    </row>
    <row r="378">
      <c r="A378" s="48"/>
      <c r="C378" s="79"/>
      <c r="D378" s="36"/>
      <c r="E378" s="36"/>
      <c r="F378" s="36"/>
      <c r="G378" s="48"/>
      <c r="H378" s="74"/>
    </row>
    <row r="379">
      <c r="A379" s="48"/>
      <c r="C379" s="79"/>
      <c r="D379" s="36"/>
      <c r="E379" s="36"/>
      <c r="F379" s="36"/>
      <c r="G379" s="48"/>
      <c r="H379" s="74"/>
    </row>
    <row r="380">
      <c r="A380" s="48"/>
      <c r="C380" s="79"/>
      <c r="D380" s="36"/>
      <c r="E380" s="36"/>
      <c r="F380" s="36"/>
      <c r="G380" s="48"/>
      <c r="H380" s="74"/>
    </row>
    <row r="381">
      <c r="A381" s="48"/>
      <c r="C381" s="79"/>
      <c r="D381" s="36"/>
      <c r="E381" s="36"/>
      <c r="F381" s="36"/>
      <c r="G381" s="48"/>
      <c r="H381" s="74"/>
    </row>
    <row r="382">
      <c r="A382" s="48"/>
      <c r="C382" s="79"/>
      <c r="D382" s="36"/>
      <c r="E382" s="36"/>
      <c r="F382" s="36"/>
      <c r="G382" s="48"/>
      <c r="H382" s="74"/>
    </row>
    <row r="383">
      <c r="A383" s="48"/>
      <c r="C383" s="79"/>
      <c r="D383" s="36"/>
      <c r="E383" s="36"/>
      <c r="F383" s="36"/>
      <c r="G383" s="48"/>
      <c r="H383" s="74"/>
    </row>
    <row r="384">
      <c r="A384" s="48"/>
      <c r="C384" s="79"/>
      <c r="D384" s="36"/>
      <c r="E384" s="36"/>
      <c r="F384" s="36"/>
      <c r="G384" s="48"/>
      <c r="H384" s="74"/>
    </row>
    <row r="385">
      <c r="A385" s="48"/>
      <c r="C385" s="79"/>
      <c r="D385" s="36"/>
      <c r="E385" s="36"/>
      <c r="F385" s="36"/>
      <c r="G385" s="48"/>
      <c r="H385" s="74"/>
    </row>
    <row r="386">
      <c r="A386" s="48"/>
      <c r="C386" s="79"/>
      <c r="D386" s="36"/>
      <c r="E386" s="36"/>
      <c r="F386" s="36"/>
      <c r="G386" s="48"/>
      <c r="H386" s="74"/>
    </row>
    <row r="387">
      <c r="A387" s="48"/>
      <c r="C387" s="79"/>
      <c r="D387" s="36"/>
      <c r="E387" s="36"/>
      <c r="F387" s="36"/>
      <c r="G387" s="48"/>
      <c r="H387" s="74"/>
    </row>
    <row r="388">
      <c r="A388" s="48"/>
      <c r="C388" s="79"/>
      <c r="D388" s="36"/>
      <c r="E388" s="36"/>
      <c r="F388" s="36"/>
      <c r="G388" s="48"/>
      <c r="H388" s="74"/>
    </row>
    <row r="389">
      <c r="A389" s="48"/>
      <c r="C389" s="79"/>
      <c r="D389" s="36"/>
      <c r="E389" s="36"/>
      <c r="F389" s="36"/>
      <c r="G389" s="48"/>
      <c r="H389" s="74"/>
    </row>
    <row r="390">
      <c r="A390" s="48"/>
      <c r="C390" s="79"/>
      <c r="D390" s="36"/>
      <c r="E390" s="36"/>
      <c r="F390" s="36"/>
      <c r="G390" s="48"/>
      <c r="H390" s="74"/>
    </row>
    <row r="391">
      <c r="A391" s="48"/>
      <c r="C391" s="79"/>
      <c r="D391" s="36"/>
      <c r="E391" s="36"/>
      <c r="F391" s="36"/>
      <c r="G391" s="48"/>
      <c r="H391" s="74"/>
    </row>
    <row r="392">
      <c r="A392" s="48"/>
      <c r="C392" s="79"/>
      <c r="D392" s="36"/>
      <c r="E392" s="36"/>
      <c r="F392" s="36"/>
      <c r="G392" s="48"/>
      <c r="H392" s="74"/>
    </row>
    <row r="393">
      <c r="A393" s="48"/>
      <c r="C393" s="79"/>
      <c r="D393" s="36"/>
      <c r="E393" s="36"/>
      <c r="F393" s="36"/>
      <c r="G393" s="48"/>
      <c r="H393" s="74"/>
    </row>
    <row r="394">
      <c r="A394" s="48"/>
      <c r="C394" s="79"/>
      <c r="D394" s="36"/>
      <c r="E394" s="36"/>
      <c r="F394" s="36"/>
      <c r="G394" s="48"/>
      <c r="H394" s="74"/>
    </row>
    <row r="395">
      <c r="A395" s="48"/>
      <c r="C395" s="79"/>
      <c r="D395" s="36"/>
      <c r="E395" s="36"/>
      <c r="F395" s="36"/>
      <c r="G395" s="48"/>
      <c r="H395" s="74"/>
    </row>
    <row r="396">
      <c r="A396" s="48"/>
      <c r="C396" s="79"/>
      <c r="D396" s="36"/>
      <c r="E396" s="36"/>
      <c r="F396" s="36"/>
      <c r="G396" s="48"/>
      <c r="H396" s="74"/>
    </row>
    <row r="397">
      <c r="A397" s="48"/>
      <c r="C397" s="79"/>
      <c r="D397" s="36"/>
      <c r="E397" s="36"/>
      <c r="F397" s="36"/>
      <c r="G397" s="48"/>
      <c r="H397" s="74"/>
    </row>
    <row r="398">
      <c r="A398" s="48"/>
      <c r="C398" s="79"/>
      <c r="D398" s="36"/>
      <c r="E398" s="36"/>
      <c r="F398" s="36"/>
      <c r="G398" s="48"/>
      <c r="H398" s="74"/>
    </row>
    <row r="399">
      <c r="A399" s="48"/>
      <c r="C399" s="79"/>
      <c r="D399" s="36"/>
      <c r="E399" s="36"/>
      <c r="F399" s="36"/>
      <c r="G399" s="48"/>
      <c r="H399" s="74"/>
    </row>
    <row r="400">
      <c r="A400" s="48"/>
      <c r="C400" s="79"/>
      <c r="D400" s="36"/>
      <c r="E400" s="36"/>
      <c r="F400" s="36"/>
      <c r="G400" s="48"/>
      <c r="H400" s="74"/>
    </row>
    <row r="401">
      <c r="A401" s="48"/>
      <c r="C401" s="79"/>
      <c r="D401" s="36"/>
      <c r="E401" s="36"/>
      <c r="F401" s="36"/>
      <c r="G401" s="48"/>
      <c r="H401" s="74"/>
    </row>
    <row r="402">
      <c r="A402" s="48"/>
      <c r="C402" s="79"/>
      <c r="D402" s="36"/>
      <c r="E402" s="36"/>
      <c r="F402" s="36"/>
      <c r="G402" s="48"/>
      <c r="H402" s="74"/>
    </row>
    <row r="403">
      <c r="A403" s="48"/>
      <c r="C403" s="79"/>
      <c r="D403" s="36"/>
      <c r="E403" s="36"/>
      <c r="F403" s="36"/>
      <c r="G403" s="48"/>
      <c r="H403" s="74"/>
    </row>
    <row r="404">
      <c r="A404" s="48"/>
      <c r="C404" s="79"/>
      <c r="D404" s="36"/>
      <c r="E404" s="36"/>
      <c r="F404" s="36"/>
      <c r="G404" s="48"/>
      <c r="H404" s="74"/>
    </row>
    <row r="405">
      <c r="A405" s="48"/>
      <c r="C405" s="79"/>
      <c r="D405" s="36"/>
      <c r="E405" s="36"/>
      <c r="F405" s="36"/>
      <c r="G405" s="48"/>
      <c r="H405" s="74"/>
    </row>
    <row r="406">
      <c r="A406" s="48"/>
      <c r="C406" s="79"/>
      <c r="D406" s="36"/>
      <c r="E406" s="36"/>
      <c r="F406" s="36"/>
      <c r="G406" s="48"/>
      <c r="H406" s="74"/>
    </row>
    <row r="407">
      <c r="A407" s="48"/>
      <c r="C407" s="79"/>
      <c r="D407" s="36"/>
      <c r="E407" s="36"/>
      <c r="F407" s="36"/>
      <c r="G407" s="48"/>
      <c r="H407" s="74"/>
    </row>
    <row r="408">
      <c r="A408" s="48"/>
      <c r="C408" s="79"/>
      <c r="D408" s="36"/>
      <c r="E408" s="36"/>
      <c r="F408" s="36"/>
      <c r="G408" s="48"/>
      <c r="H408" s="74"/>
    </row>
    <row r="409">
      <c r="A409" s="48"/>
      <c r="C409" s="79"/>
      <c r="D409" s="36"/>
      <c r="E409" s="36"/>
      <c r="F409" s="36"/>
      <c r="G409" s="48"/>
      <c r="H409" s="74"/>
    </row>
    <row r="410">
      <c r="A410" s="48"/>
      <c r="C410" s="79"/>
      <c r="D410" s="36"/>
      <c r="E410" s="36"/>
      <c r="F410" s="36"/>
      <c r="G410" s="48"/>
      <c r="H410" s="74"/>
    </row>
    <row r="411">
      <c r="A411" s="48"/>
      <c r="C411" s="79"/>
      <c r="D411" s="36"/>
      <c r="E411" s="36"/>
      <c r="F411" s="36"/>
      <c r="G411" s="48"/>
      <c r="H411" s="74"/>
    </row>
    <row r="412">
      <c r="A412" s="48"/>
      <c r="C412" s="79"/>
      <c r="D412" s="36"/>
      <c r="E412" s="36"/>
      <c r="F412" s="36"/>
      <c r="G412" s="48"/>
      <c r="H412" s="74"/>
    </row>
    <row r="413">
      <c r="A413" s="48"/>
      <c r="C413" s="79"/>
      <c r="D413" s="36"/>
      <c r="E413" s="36"/>
      <c r="F413" s="36"/>
      <c r="G413" s="48"/>
      <c r="H413" s="74"/>
    </row>
    <row r="414">
      <c r="A414" s="48"/>
      <c r="C414" s="79"/>
      <c r="D414" s="36"/>
      <c r="E414" s="36"/>
      <c r="F414" s="36"/>
      <c r="G414" s="48"/>
      <c r="H414" s="74"/>
    </row>
    <row r="415">
      <c r="A415" s="48"/>
      <c r="C415" s="79"/>
      <c r="D415" s="36"/>
      <c r="E415" s="36"/>
      <c r="F415" s="36"/>
      <c r="G415" s="48"/>
      <c r="H415" s="74"/>
    </row>
    <row r="416">
      <c r="A416" s="48"/>
      <c r="C416" s="79"/>
      <c r="D416" s="36"/>
      <c r="E416" s="36"/>
      <c r="F416" s="36"/>
      <c r="G416" s="48"/>
      <c r="H416" s="74"/>
    </row>
    <row r="417">
      <c r="A417" s="48"/>
      <c r="C417" s="79"/>
      <c r="D417" s="36"/>
      <c r="E417" s="36"/>
      <c r="F417" s="36"/>
      <c r="G417" s="48"/>
      <c r="H417" s="74"/>
    </row>
    <row r="418">
      <c r="A418" s="48"/>
      <c r="C418" s="79"/>
      <c r="D418" s="36"/>
      <c r="E418" s="36"/>
      <c r="F418" s="36"/>
      <c r="G418" s="48"/>
      <c r="H418" s="74"/>
    </row>
    <row r="419">
      <c r="A419" s="48"/>
      <c r="C419" s="79"/>
      <c r="D419" s="36"/>
      <c r="E419" s="36"/>
      <c r="F419" s="36"/>
      <c r="G419" s="48"/>
      <c r="H419" s="74"/>
    </row>
    <row r="420">
      <c r="A420" s="48"/>
      <c r="C420" s="79"/>
      <c r="D420" s="36"/>
      <c r="E420" s="36"/>
      <c r="F420" s="36"/>
      <c r="G420" s="48"/>
      <c r="H420" s="74"/>
    </row>
    <row r="421">
      <c r="A421" s="48"/>
      <c r="C421" s="79"/>
      <c r="D421" s="36"/>
      <c r="E421" s="36"/>
      <c r="F421" s="36"/>
      <c r="G421" s="48"/>
      <c r="H421" s="74"/>
    </row>
    <row r="422">
      <c r="A422" s="48"/>
      <c r="C422" s="79"/>
      <c r="D422" s="36"/>
      <c r="E422" s="36"/>
      <c r="F422" s="36"/>
      <c r="G422" s="48"/>
      <c r="H422" s="74"/>
    </row>
    <row r="423">
      <c r="A423" s="48"/>
      <c r="C423" s="79"/>
      <c r="D423" s="36"/>
      <c r="E423" s="36"/>
      <c r="F423" s="36"/>
      <c r="G423" s="48"/>
      <c r="H423" s="74"/>
    </row>
    <row r="424">
      <c r="A424" s="48"/>
      <c r="C424" s="79"/>
      <c r="D424" s="36"/>
      <c r="E424" s="36"/>
      <c r="F424" s="36"/>
      <c r="G424" s="48"/>
      <c r="H424" s="74"/>
    </row>
    <row r="425">
      <c r="A425" s="48"/>
      <c r="C425" s="79"/>
      <c r="D425" s="36"/>
      <c r="E425" s="36"/>
      <c r="F425" s="36"/>
      <c r="G425" s="48"/>
      <c r="H425" s="74"/>
    </row>
    <row r="426">
      <c r="A426" s="48"/>
      <c r="C426" s="79"/>
      <c r="D426" s="36"/>
      <c r="E426" s="36"/>
      <c r="F426" s="36"/>
      <c r="G426" s="48"/>
      <c r="H426" s="74"/>
    </row>
    <row r="427">
      <c r="A427" s="48"/>
      <c r="C427" s="79"/>
      <c r="D427" s="36"/>
      <c r="E427" s="36"/>
      <c r="F427" s="36"/>
      <c r="G427" s="48"/>
      <c r="H427" s="74"/>
    </row>
    <row r="428">
      <c r="A428" s="48"/>
      <c r="C428" s="79"/>
      <c r="D428" s="36"/>
      <c r="E428" s="36"/>
      <c r="F428" s="36"/>
      <c r="G428" s="48"/>
      <c r="H428" s="74"/>
    </row>
    <row r="429">
      <c r="A429" s="48"/>
      <c r="C429" s="79"/>
      <c r="D429" s="36"/>
      <c r="E429" s="36"/>
      <c r="F429" s="36"/>
      <c r="G429" s="48"/>
      <c r="H429" s="74"/>
    </row>
    <row r="430">
      <c r="A430" s="48"/>
      <c r="C430" s="79"/>
      <c r="D430" s="36"/>
      <c r="E430" s="36"/>
      <c r="F430" s="36"/>
      <c r="G430" s="48"/>
      <c r="H430" s="74"/>
    </row>
    <row r="431">
      <c r="A431" s="48"/>
      <c r="C431" s="79"/>
      <c r="D431" s="36"/>
      <c r="E431" s="36"/>
      <c r="F431" s="36"/>
      <c r="G431" s="48"/>
      <c r="H431" s="74"/>
    </row>
    <row r="432">
      <c r="A432" s="48"/>
      <c r="C432" s="79"/>
      <c r="D432" s="36"/>
      <c r="E432" s="36"/>
      <c r="F432" s="36"/>
      <c r="G432" s="48"/>
      <c r="H432" s="74"/>
    </row>
    <row r="433">
      <c r="A433" s="48"/>
      <c r="C433" s="79"/>
      <c r="D433" s="36"/>
      <c r="E433" s="36"/>
      <c r="F433" s="36"/>
      <c r="G433" s="48"/>
      <c r="H433" s="74"/>
    </row>
    <row r="434">
      <c r="A434" s="48"/>
      <c r="C434" s="79"/>
      <c r="D434" s="36"/>
      <c r="E434" s="36"/>
      <c r="F434" s="36"/>
      <c r="G434" s="48"/>
      <c r="H434" s="74"/>
    </row>
    <row r="435">
      <c r="A435" s="48"/>
      <c r="C435" s="79"/>
      <c r="D435" s="36"/>
      <c r="E435" s="36"/>
      <c r="F435" s="36"/>
      <c r="G435" s="48"/>
      <c r="H435" s="74"/>
    </row>
    <row r="436">
      <c r="A436" s="48"/>
      <c r="C436" s="79"/>
      <c r="D436" s="36"/>
      <c r="E436" s="36"/>
      <c r="F436" s="36"/>
      <c r="G436" s="48"/>
      <c r="H436" s="74"/>
    </row>
    <row r="437">
      <c r="A437" s="48"/>
      <c r="C437" s="79"/>
      <c r="D437" s="36"/>
      <c r="E437" s="36"/>
      <c r="F437" s="36"/>
      <c r="G437" s="48"/>
      <c r="H437" s="74"/>
    </row>
    <row r="438">
      <c r="A438" s="48"/>
      <c r="C438" s="79"/>
      <c r="D438" s="36"/>
      <c r="E438" s="36"/>
      <c r="F438" s="36"/>
      <c r="G438" s="48"/>
      <c r="H438" s="74"/>
    </row>
    <row r="439">
      <c r="A439" s="48"/>
      <c r="C439" s="79"/>
      <c r="D439" s="36"/>
      <c r="E439" s="36"/>
      <c r="F439" s="36"/>
      <c r="G439" s="48"/>
      <c r="H439" s="74"/>
    </row>
    <row r="440">
      <c r="A440" s="48"/>
      <c r="C440" s="79"/>
      <c r="D440" s="36"/>
      <c r="E440" s="36"/>
      <c r="F440" s="36"/>
      <c r="G440" s="48"/>
      <c r="H440" s="74"/>
    </row>
    <row r="441">
      <c r="A441" s="48"/>
      <c r="C441" s="79"/>
      <c r="D441" s="36"/>
      <c r="E441" s="36"/>
      <c r="F441" s="36"/>
      <c r="G441" s="48"/>
      <c r="H441" s="74"/>
    </row>
    <row r="442">
      <c r="A442" s="48"/>
      <c r="C442" s="79"/>
      <c r="D442" s="36"/>
      <c r="E442" s="36"/>
      <c r="F442" s="36"/>
      <c r="G442" s="48"/>
      <c r="H442" s="74"/>
    </row>
    <row r="443">
      <c r="A443" s="48"/>
      <c r="C443" s="79"/>
      <c r="D443" s="36"/>
      <c r="E443" s="36"/>
      <c r="F443" s="36"/>
      <c r="G443" s="48"/>
      <c r="H443" s="74"/>
    </row>
    <row r="444">
      <c r="A444" s="48"/>
      <c r="C444" s="79"/>
      <c r="D444" s="36"/>
      <c r="E444" s="36"/>
      <c r="F444" s="36"/>
      <c r="G444" s="48"/>
      <c r="H444" s="74"/>
    </row>
    <row r="445">
      <c r="A445" s="48"/>
      <c r="C445" s="79"/>
      <c r="D445" s="36"/>
      <c r="E445" s="36"/>
      <c r="F445" s="36"/>
      <c r="G445" s="48"/>
      <c r="H445" s="74"/>
    </row>
    <row r="446">
      <c r="A446" s="48"/>
      <c r="C446" s="79"/>
      <c r="D446" s="36"/>
      <c r="E446" s="36"/>
      <c r="F446" s="36"/>
      <c r="G446" s="48"/>
      <c r="H446" s="74"/>
    </row>
    <row r="447">
      <c r="A447" s="48"/>
      <c r="C447" s="79"/>
      <c r="D447" s="36"/>
      <c r="E447" s="36"/>
      <c r="F447" s="36"/>
      <c r="G447" s="48"/>
      <c r="H447" s="74"/>
    </row>
    <row r="448">
      <c r="A448" s="48"/>
      <c r="C448" s="79"/>
      <c r="D448" s="36"/>
      <c r="E448" s="36"/>
      <c r="F448" s="36"/>
      <c r="G448" s="48"/>
      <c r="H448" s="74"/>
    </row>
    <row r="449">
      <c r="A449" s="48"/>
      <c r="C449" s="79"/>
      <c r="D449" s="36"/>
      <c r="E449" s="36"/>
      <c r="F449" s="36"/>
      <c r="G449" s="48"/>
      <c r="H449" s="74"/>
    </row>
    <row r="450">
      <c r="A450" s="48"/>
      <c r="C450" s="79"/>
      <c r="D450" s="36"/>
      <c r="E450" s="36"/>
      <c r="F450" s="36"/>
      <c r="G450" s="48"/>
      <c r="H450" s="74"/>
    </row>
    <row r="451">
      <c r="A451" s="48"/>
      <c r="C451" s="79"/>
      <c r="D451" s="36"/>
      <c r="E451" s="36"/>
      <c r="F451" s="36"/>
      <c r="G451" s="48"/>
      <c r="H451" s="74"/>
    </row>
    <row r="452">
      <c r="A452" s="48"/>
      <c r="C452" s="79"/>
      <c r="D452" s="36"/>
      <c r="E452" s="36"/>
      <c r="F452" s="36"/>
      <c r="G452" s="48"/>
      <c r="H452" s="74"/>
    </row>
    <row r="453">
      <c r="A453" s="48"/>
      <c r="C453" s="79"/>
      <c r="D453" s="36"/>
      <c r="E453" s="36"/>
      <c r="F453" s="36"/>
      <c r="G453" s="48"/>
      <c r="H453" s="74"/>
    </row>
    <row r="454">
      <c r="A454" s="48"/>
      <c r="C454" s="79"/>
      <c r="D454" s="36"/>
      <c r="E454" s="36"/>
      <c r="F454" s="36"/>
      <c r="G454" s="48"/>
      <c r="H454" s="74"/>
    </row>
    <row r="455">
      <c r="A455" s="48"/>
      <c r="C455" s="79"/>
      <c r="D455" s="36"/>
      <c r="E455" s="36"/>
      <c r="F455" s="36"/>
      <c r="G455" s="48"/>
      <c r="H455" s="74"/>
    </row>
    <row r="456">
      <c r="A456" s="48"/>
      <c r="C456" s="79"/>
      <c r="D456" s="36"/>
      <c r="E456" s="36"/>
      <c r="F456" s="36"/>
      <c r="G456" s="48"/>
      <c r="H456" s="74"/>
    </row>
    <row r="457">
      <c r="A457" s="48"/>
      <c r="C457" s="79"/>
      <c r="D457" s="36"/>
      <c r="E457" s="36"/>
      <c r="F457" s="36"/>
      <c r="G457" s="48"/>
      <c r="H457" s="74"/>
    </row>
    <row r="458">
      <c r="A458" s="48"/>
      <c r="C458" s="79"/>
      <c r="D458" s="36"/>
      <c r="E458" s="36"/>
      <c r="F458" s="36"/>
      <c r="G458" s="48"/>
      <c r="H458" s="74"/>
    </row>
    <row r="459">
      <c r="A459" s="48"/>
      <c r="C459" s="79"/>
      <c r="D459" s="36"/>
      <c r="E459" s="36"/>
      <c r="F459" s="36"/>
      <c r="G459" s="48"/>
      <c r="H459" s="74"/>
    </row>
    <row r="460">
      <c r="A460" s="48"/>
      <c r="C460" s="79"/>
      <c r="D460" s="36"/>
      <c r="E460" s="36"/>
      <c r="F460" s="36"/>
      <c r="G460" s="48"/>
      <c r="H460" s="74"/>
    </row>
    <row r="461">
      <c r="A461" s="48"/>
      <c r="C461" s="79"/>
      <c r="D461" s="36"/>
      <c r="E461" s="36"/>
      <c r="F461" s="36"/>
      <c r="G461" s="48"/>
      <c r="H461" s="74"/>
    </row>
    <row r="462">
      <c r="A462" s="48"/>
      <c r="C462" s="79"/>
      <c r="D462" s="36"/>
      <c r="E462" s="36"/>
      <c r="F462" s="36"/>
      <c r="G462" s="48"/>
      <c r="H462" s="74"/>
    </row>
    <row r="463">
      <c r="A463" s="48"/>
      <c r="C463" s="79"/>
      <c r="D463" s="36"/>
      <c r="E463" s="36"/>
      <c r="F463" s="36"/>
      <c r="G463" s="48"/>
      <c r="H463" s="74"/>
    </row>
    <row r="464">
      <c r="A464" s="48"/>
      <c r="C464" s="79"/>
      <c r="D464" s="36"/>
      <c r="E464" s="36"/>
      <c r="F464" s="36"/>
      <c r="G464" s="48"/>
      <c r="H464" s="74"/>
    </row>
    <row r="465">
      <c r="A465" s="48"/>
      <c r="C465" s="79"/>
      <c r="D465" s="36"/>
      <c r="E465" s="36"/>
      <c r="F465" s="36"/>
      <c r="G465" s="48"/>
      <c r="H465" s="74"/>
    </row>
    <row r="466">
      <c r="A466" s="48"/>
      <c r="C466" s="79"/>
      <c r="D466" s="36"/>
      <c r="E466" s="36"/>
      <c r="F466" s="36"/>
      <c r="G466" s="48"/>
      <c r="H466" s="74"/>
    </row>
    <row r="467">
      <c r="A467" s="48"/>
      <c r="C467" s="79"/>
      <c r="D467" s="36"/>
      <c r="E467" s="36"/>
      <c r="F467" s="36"/>
      <c r="G467" s="48"/>
      <c r="H467" s="74"/>
    </row>
    <row r="468">
      <c r="A468" s="48"/>
      <c r="C468" s="79"/>
      <c r="D468" s="36"/>
      <c r="E468" s="36"/>
      <c r="F468" s="36"/>
      <c r="G468" s="48"/>
      <c r="H468" s="74"/>
    </row>
    <row r="469">
      <c r="A469" s="48"/>
      <c r="C469" s="79"/>
      <c r="D469" s="36"/>
      <c r="E469" s="36"/>
      <c r="F469" s="36"/>
      <c r="G469" s="48"/>
      <c r="H469" s="74"/>
    </row>
    <row r="470">
      <c r="A470" s="48"/>
      <c r="C470" s="79"/>
      <c r="D470" s="36"/>
      <c r="E470" s="36"/>
      <c r="F470" s="36"/>
      <c r="G470" s="48"/>
      <c r="H470" s="74"/>
    </row>
    <row r="471">
      <c r="A471" s="48"/>
      <c r="C471" s="79"/>
      <c r="D471" s="36"/>
      <c r="E471" s="36"/>
      <c r="F471" s="36"/>
      <c r="G471" s="48"/>
      <c r="H471" s="74"/>
    </row>
    <row r="472">
      <c r="A472" s="48"/>
      <c r="C472" s="79"/>
      <c r="D472" s="36"/>
      <c r="E472" s="36"/>
      <c r="F472" s="36"/>
      <c r="G472" s="48"/>
      <c r="H472" s="74"/>
    </row>
    <row r="473">
      <c r="A473" s="48"/>
      <c r="C473" s="79"/>
      <c r="D473" s="36"/>
      <c r="E473" s="36"/>
      <c r="F473" s="36"/>
      <c r="G473" s="48"/>
      <c r="H473" s="74"/>
    </row>
    <row r="474">
      <c r="A474" s="48"/>
      <c r="C474" s="79"/>
      <c r="D474" s="36"/>
      <c r="E474" s="36"/>
      <c r="F474" s="36"/>
      <c r="G474" s="48"/>
      <c r="H474" s="74"/>
    </row>
    <row r="475">
      <c r="A475" s="48"/>
      <c r="C475" s="79"/>
      <c r="D475" s="36"/>
      <c r="E475" s="36"/>
      <c r="F475" s="36"/>
      <c r="G475" s="48"/>
      <c r="H475" s="74"/>
    </row>
    <row r="476">
      <c r="A476" s="48"/>
      <c r="C476" s="79"/>
      <c r="D476" s="36"/>
      <c r="E476" s="36"/>
      <c r="F476" s="36"/>
      <c r="G476" s="48"/>
      <c r="H476" s="74"/>
    </row>
    <row r="477">
      <c r="A477" s="48"/>
      <c r="C477" s="79"/>
      <c r="D477" s="36"/>
      <c r="E477" s="36"/>
      <c r="F477" s="36"/>
      <c r="G477" s="48"/>
      <c r="H477" s="74"/>
    </row>
    <row r="478">
      <c r="A478" s="48"/>
      <c r="C478" s="79"/>
      <c r="D478" s="36"/>
      <c r="E478" s="36"/>
      <c r="F478" s="36"/>
      <c r="G478" s="48"/>
      <c r="H478" s="74"/>
    </row>
    <row r="479">
      <c r="A479" s="48"/>
      <c r="C479" s="79"/>
      <c r="D479" s="36"/>
      <c r="E479" s="36"/>
      <c r="F479" s="36"/>
      <c r="G479" s="48"/>
      <c r="H479" s="74"/>
    </row>
    <row r="480">
      <c r="A480" s="48"/>
      <c r="C480" s="79"/>
      <c r="D480" s="36"/>
      <c r="E480" s="36"/>
      <c r="F480" s="36"/>
      <c r="G480" s="48"/>
      <c r="H480" s="74"/>
    </row>
    <row r="481">
      <c r="A481" s="48"/>
      <c r="C481" s="79"/>
      <c r="D481" s="36"/>
      <c r="E481" s="36"/>
      <c r="F481" s="36"/>
      <c r="G481" s="48"/>
      <c r="H481" s="74"/>
    </row>
    <row r="482">
      <c r="A482" s="48"/>
      <c r="C482" s="79"/>
      <c r="D482" s="36"/>
      <c r="E482" s="36"/>
      <c r="F482" s="36"/>
      <c r="G482" s="48"/>
      <c r="H482" s="74"/>
    </row>
    <row r="483">
      <c r="A483" s="48"/>
      <c r="C483" s="79"/>
      <c r="D483" s="36"/>
      <c r="E483" s="36"/>
      <c r="F483" s="36"/>
      <c r="G483" s="48"/>
      <c r="H483" s="74"/>
    </row>
    <row r="484">
      <c r="A484" s="48"/>
      <c r="C484" s="79"/>
      <c r="D484" s="36"/>
      <c r="E484" s="36"/>
      <c r="F484" s="36"/>
      <c r="G484" s="48"/>
      <c r="H484" s="74"/>
    </row>
    <row r="485">
      <c r="A485" s="48"/>
      <c r="C485" s="79"/>
      <c r="D485" s="36"/>
      <c r="E485" s="36"/>
      <c r="F485" s="36"/>
      <c r="G485" s="48"/>
      <c r="H485" s="74"/>
    </row>
    <row r="486">
      <c r="A486" s="48"/>
      <c r="C486" s="79"/>
      <c r="D486" s="36"/>
      <c r="E486" s="36"/>
      <c r="F486" s="36"/>
      <c r="G486" s="48"/>
      <c r="H486" s="74"/>
    </row>
    <row r="487">
      <c r="A487" s="48"/>
      <c r="C487" s="79"/>
      <c r="D487" s="36"/>
      <c r="E487" s="36"/>
      <c r="F487" s="36"/>
      <c r="G487" s="48"/>
      <c r="H487" s="74"/>
    </row>
    <row r="488">
      <c r="A488" s="48"/>
      <c r="C488" s="79"/>
      <c r="D488" s="36"/>
      <c r="E488" s="36"/>
      <c r="F488" s="36"/>
      <c r="G488" s="48"/>
      <c r="H488" s="74"/>
    </row>
    <row r="489">
      <c r="A489" s="48"/>
      <c r="C489" s="79"/>
      <c r="D489" s="36"/>
      <c r="E489" s="36"/>
      <c r="F489" s="36"/>
      <c r="G489" s="48"/>
      <c r="H489" s="74"/>
    </row>
    <row r="490">
      <c r="A490" s="48"/>
      <c r="C490" s="79"/>
      <c r="D490" s="36"/>
      <c r="E490" s="36"/>
      <c r="F490" s="36"/>
      <c r="G490" s="48"/>
      <c r="H490" s="74"/>
    </row>
    <row r="491">
      <c r="A491" s="48"/>
      <c r="C491" s="79"/>
      <c r="D491" s="36"/>
      <c r="E491" s="36"/>
      <c r="F491" s="36"/>
      <c r="G491" s="48"/>
      <c r="H491" s="74"/>
    </row>
    <row r="492">
      <c r="A492" s="48"/>
      <c r="C492" s="79"/>
      <c r="D492" s="36"/>
      <c r="E492" s="36"/>
      <c r="F492" s="36"/>
      <c r="G492" s="48"/>
      <c r="H492" s="74"/>
    </row>
    <row r="493">
      <c r="A493" s="48"/>
      <c r="C493" s="79"/>
      <c r="D493" s="36"/>
      <c r="E493" s="36"/>
      <c r="F493" s="36"/>
      <c r="G493" s="48"/>
      <c r="H493" s="74"/>
    </row>
    <row r="494">
      <c r="A494" s="48"/>
      <c r="C494" s="79"/>
      <c r="D494" s="36"/>
      <c r="E494" s="36"/>
      <c r="F494" s="36"/>
      <c r="G494" s="48"/>
      <c r="H494" s="74"/>
    </row>
    <row r="495">
      <c r="A495" s="48"/>
      <c r="C495" s="79"/>
      <c r="D495" s="36"/>
      <c r="E495" s="36"/>
      <c r="F495" s="36"/>
      <c r="G495" s="48"/>
      <c r="H495" s="74"/>
    </row>
    <row r="496">
      <c r="A496" s="48"/>
      <c r="C496" s="79"/>
      <c r="D496" s="36"/>
      <c r="E496" s="36"/>
      <c r="F496" s="36"/>
      <c r="G496" s="48"/>
      <c r="H496" s="74"/>
    </row>
    <row r="497">
      <c r="A497" s="48"/>
      <c r="C497" s="79"/>
      <c r="D497" s="36"/>
      <c r="E497" s="36"/>
      <c r="F497" s="36"/>
      <c r="G497" s="48"/>
      <c r="H497" s="74"/>
    </row>
    <row r="498">
      <c r="A498" s="48"/>
      <c r="C498" s="79"/>
      <c r="D498" s="36"/>
      <c r="E498" s="36"/>
      <c r="F498" s="36"/>
      <c r="G498" s="48"/>
      <c r="H498" s="74"/>
    </row>
    <row r="499">
      <c r="A499" s="48"/>
      <c r="C499" s="79"/>
      <c r="D499" s="36"/>
      <c r="E499" s="36"/>
      <c r="F499" s="36"/>
      <c r="G499" s="48"/>
      <c r="H499" s="74"/>
    </row>
    <row r="500">
      <c r="A500" s="48"/>
      <c r="C500" s="79"/>
      <c r="D500" s="36"/>
      <c r="E500" s="36"/>
      <c r="F500" s="36"/>
      <c r="G500" s="48"/>
      <c r="H500" s="74"/>
    </row>
    <row r="501">
      <c r="A501" s="48"/>
      <c r="C501" s="79"/>
      <c r="D501" s="36"/>
      <c r="E501" s="36"/>
      <c r="F501" s="36"/>
      <c r="G501" s="48"/>
      <c r="H501" s="74"/>
    </row>
    <row r="502">
      <c r="A502" s="48"/>
      <c r="C502" s="79"/>
      <c r="D502" s="36"/>
      <c r="E502" s="36"/>
      <c r="F502" s="36"/>
      <c r="G502" s="48"/>
      <c r="H502" s="74"/>
    </row>
    <row r="503">
      <c r="A503" s="48"/>
      <c r="C503" s="79"/>
      <c r="D503" s="36"/>
      <c r="E503" s="36"/>
      <c r="F503" s="36"/>
      <c r="G503" s="48"/>
      <c r="H503" s="74"/>
    </row>
    <row r="504">
      <c r="A504" s="48"/>
      <c r="C504" s="79"/>
      <c r="D504" s="36"/>
      <c r="E504" s="36"/>
      <c r="F504" s="36"/>
      <c r="G504" s="48"/>
      <c r="H504" s="74"/>
    </row>
    <row r="505">
      <c r="A505" s="48"/>
      <c r="C505" s="79"/>
      <c r="D505" s="36"/>
      <c r="E505" s="36"/>
      <c r="F505" s="36"/>
      <c r="G505" s="48"/>
      <c r="H505" s="74"/>
    </row>
    <row r="506">
      <c r="A506" s="48"/>
      <c r="C506" s="79"/>
      <c r="D506" s="36"/>
      <c r="E506" s="36"/>
      <c r="F506" s="36"/>
      <c r="G506" s="48"/>
      <c r="H506" s="74"/>
    </row>
    <row r="507">
      <c r="A507" s="48"/>
      <c r="C507" s="79"/>
      <c r="D507" s="36"/>
      <c r="E507" s="36"/>
      <c r="F507" s="36"/>
      <c r="G507" s="48"/>
      <c r="H507" s="74"/>
    </row>
    <row r="508">
      <c r="A508" s="48"/>
      <c r="C508" s="79"/>
      <c r="D508" s="36"/>
      <c r="E508" s="36"/>
      <c r="F508" s="36"/>
      <c r="G508" s="48"/>
      <c r="H508" s="74"/>
    </row>
    <row r="509">
      <c r="A509" s="48"/>
      <c r="C509" s="79"/>
      <c r="D509" s="36"/>
      <c r="E509" s="36"/>
      <c r="F509" s="36"/>
      <c r="G509" s="48"/>
      <c r="H509" s="74"/>
    </row>
    <row r="510">
      <c r="A510" s="48"/>
      <c r="C510" s="79"/>
      <c r="D510" s="36"/>
      <c r="E510" s="36"/>
      <c r="F510" s="36"/>
      <c r="G510" s="48"/>
      <c r="H510" s="74"/>
    </row>
    <row r="511">
      <c r="A511" s="48"/>
      <c r="C511" s="79"/>
      <c r="D511" s="36"/>
      <c r="E511" s="36"/>
      <c r="F511" s="36"/>
      <c r="G511" s="48"/>
      <c r="H511" s="74"/>
    </row>
    <row r="512">
      <c r="A512" s="48"/>
      <c r="C512" s="79"/>
      <c r="D512" s="36"/>
      <c r="E512" s="36"/>
      <c r="F512" s="36"/>
      <c r="G512" s="48"/>
      <c r="H512" s="74"/>
    </row>
    <row r="513">
      <c r="A513" s="48"/>
      <c r="C513" s="79"/>
      <c r="D513" s="36"/>
      <c r="E513" s="36"/>
      <c r="F513" s="36"/>
      <c r="G513" s="48"/>
      <c r="H513" s="74"/>
    </row>
    <row r="514">
      <c r="A514" s="48"/>
      <c r="C514" s="79"/>
      <c r="D514" s="36"/>
      <c r="E514" s="36"/>
      <c r="F514" s="36"/>
      <c r="G514" s="48"/>
      <c r="H514" s="74"/>
    </row>
    <row r="515">
      <c r="A515" s="48"/>
      <c r="C515" s="79"/>
      <c r="D515" s="36"/>
      <c r="E515" s="36"/>
      <c r="F515" s="36"/>
      <c r="G515" s="48"/>
      <c r="H515" s="74"/>
    </row>
    <row r="516">
      <c r="A516" s="48"/>
      <c r="C516" s="79"/>
      <c r="D516" s="36"/>
      <c r="E516" s="36"/>
      <c r="F516" s="36"/>
      <c r="G516" s="48"/>
      <c r="H516" s="74"/>
    </row>
    <row r="517">
      <c r="A517" s="48"/>
      <c r="C517" s="79"/>
      <c r="D517" s="36"/>
      <c r="E517" s="36"/>
      <c r="F517" s="36"/>
      <c r="G517" s="48"/>
      <c r="H517" s="74"/>
    </row>
    <row r="518">
      <c r="A518" s="48"/>
      <c r="C518" s="79"/>
      <c r="D518" s="36"/>
      <c r="E518" s="36"/>
      <c r="F518" s="36"/>
      <c r="G518" s="48"/>
      <c r="H518" s="74"/>
    </row>
    <row r="519">
      <c r="A519" s="48"/>
      <c r="C519" s="79"/>
      <c r="D519" s="36"/>
      <c r="E519" s="36"/>
      <c r="F519" s="36"/>
      <c r="G519" s="48"/>
      <c r="H519" s="74"/>
    </row>
    <row r="520">
      <c r="A520" s="48"/>
      <c r="C520" s="79"/>
      <c r="D520" s="36"/>
      <c r="E520" s="36"/>
      <c r="F520" s="36"/>
      <c r="G520" s="48"/>
      <c r="H520" s="74"/>
    </row>
    <row r="521">
      <c r="A521" s="48"/>
      <c r="C521" s="79"/>
      <c r="D521" s="36"/>
      <c r="E521" s="36"/>
      <c r="F521" s="36"/>
      <c r="G521" s="48"/>
      <c r="H521" s="74"/>
    </row>
    <row r="522">
      <c r="A522" s="48"/>
      <c r="C522" s="79"/>
      <c r="D522" s="36"/>
      <c r="E522" s="36"/>
      <c r="F522" s="36"/>
      <c r="G522" s="48"/>
      <c r="H522" s="74"/>
    </row>
    <row r="523">
      <c r="A523" s="48"/>
      <c r="C523" s="79"/>
      <c r="D523" s="36"/>
      <c r="E523" s="36"/>
      <c r="F523" s="36"/>
      <c r="G523" s="48"/>
      <c r="H523" s="74"/>
    </row>
    <row r="524">
      <c r="A524" s="48"/>
      <c r="C524" s="79"/>
      <c r="D524" s="36"/>
      <c r="E524" s="36"/>
      <c r="F524" s="36"/>
      <c r="G524" s="48"/>
      <c r="H524" s="74"/>
    </row>
    <row r="525">
      <c r="A525" s="48"/>
      <c r="C525" s="79"/>
      <c r="D525" s="36"/>
      <c r="E525" s="36"/>
      <c r="F525" s="36"/>
      <c r="G525" s="48"/>
      <c r="H525" s="74"/>
    </row>
    <row r="526">
      <c r="A526" s="48"/>
      <c r="C526" s="79"/>
      <c r="D526" s="36"/>
      <c r="E526" s="36"/>
      <c r="F526" s="36"/>
      <c r="G526" s="48"/>
      <c r="H526" s="74"/>
    </row>
    <row r="527">
      <c r="A527" s="48"/>
      <c r="C527" s="79"/>
      <c r="D527" s="36"/>
      <c r="E527" s="36"/>
      <c r="F527" s="36"/>
      <c r="G527" s="48"/>
      <c r="H527" s="74"/>
    </row>
    <row r="528">
      <c r="A528" s="48"/>
      <c r="C528" s="79"/>
      <c r="D528" s="36"/>
      <c r="E528" s="36"/>
      <c r="F528" s="36"/>
      <c r="G528" s="48"/>
      <c r="H528" s="74"/>
    </row>
    <row r="529">
      <c r="A529" s="48"/>
      <c r="C529" s="79"/>
      <c r="D529" s="36"/>
      <c r="E529" s="36"/>
      <c r="F529" s="36"/>
      <c r="G529" s="48"/>
      <c r="H529" s="74"/>
    </row>
    <row r="530">
      <c r="A530" s="48"/>
      <c r="C530" s="79"/>
      <c r="D530" s="36"/>
      <c r="E530" s="36"/>
      <c r="F530" s="36"/>
      <c r="G530" s="48"/>
      <c r="H530" s="74"/>
    </row>
    <row r="531">
      <c r="A531" s="48"/>
      <c r="C531" s="79"/>
      <c r="D531" s="36"/>
      <c r="E531" s="36"/>
      <c r="F531" s="36"/>
      <c r="G531" s="48"/>
      <c r="H531" s="74"/>
    </row>
    <row r="532">
      <c r="A532" s="48"/>
      <c r="C532" s="79"/>
      <c r="D532" s="36"/>
      <c r="E532" s="36"/>
      <c r="F532" s="36"/>
      <c r="G532" s="48"/>
      <c r="H532" s="74"/>
    </row>
    <row r="533">
      <c r="A533" s="48"/>
      <c r="C533" s="79"/>
      <c r="D533" s="36"/>
      <c r="E533" s="36"/>
      <c r="F533" s="36"/>
      <c r="G533" s="48"/>
      <c r="H533" s="74"/>
    </row>
    <row r="534">
      <c r="A534" s="48"/>
      <c r="C534" s="79"/>
      <c r="D534" s="36"/>
      <c r="E534" s="36"/>
      <c r="F534" s="36"/>
      <c r="G534" s="48"/>
      <c r="H534" s="74"/>
    </row>
    <row r="535">
      <c r="A535" s="48"/>
      <c r="C535" s="79"/>
      <c r="D535" s="36"/>
      <c r="E535" s="36"/>
      <c r="F535" s="36"/>
      <c r="G535" s="48"/>
      <c r="H535" s="74"/>
    </row>
    <row r="536">
      <c r="A536" s="48"/>
      <c r="C536" s="79"/>
      <c r="D536" s="36"/>
      <c r="E536" s="36"/>
      <c r="F536" s="36"/>
      <c r="G536" s="48"/>
      <c r="H536" s="74"/>
    </row>
    <row r="537">
      <c r="A537" s="48"/>
      <c r="C537" s="79"/>
      <c r="D537" s="36"/>
      <c r="E537" s="36"/>
      <c r="F537" s="36"/>
      <c r="G537" s="48"/>
      <c r="H537" s="74"/>
    </row>
    <row r="538">
      <c r="A538" s="48"/>
      <c r="C538" s="79"/>
      <c r="D538" s="36"/>
      <c r="E538" s="36"/>
      <c r="F538" s="36"/>
      <c r="G538" s="48"/>
      <c r="H538" s="74"/>
    </row>
    <row r="539">
      <c r="A539" s="48"/>
      <c r="C539" s="79"/>
      <c r="D539" s="36"/>
      <c r="E539" s="36"/>
      <c r="F539" s="36"/>
      <c r="G539" s="48"/>
      <c r="H539" s="74"/>
    </row>
    <row r="540">
      <c r="A540" s="48"/>
      <c r="C540" s="79"/>
      <c r="D540" s="36"/>
      <c r="E540" s="36"/>
      <c r="F540" s="36"/>
      <c r="G540" s="48"/>
      <c r="H540" s="74"/>
    </row>
    <row r="541">
      <c r="A541" s="48"/>
      <c r="C541" s="79"/>
      <c r="D541" s="36"/>
      <c r="E541" s="36"/>
      <c r="F541" s="36"/>
      <c r="G541" s="48"/>
      <c r="H541" s="74"/>
    </row>
    <row r="542">
      <c r="A542" s="48"/>
      <c r="C542" s="79"/>
      <c r="D542" s="36"/>
      <c r="E542" s="36"/>
      <c r="F542" s="36"/>
      <c r="G542" s="48"/>
      <c r="H542" s="74"/>
    </row>
    <row r="543">
      <c r="A543" s="48"/>
      <c r="C543" s="79"/>
      <c r="D543" s="36"/>
      <c r="E543" s="36"/>
      <c r="F543" s="36"/>
      <c r="G543" s="48"/>
      <c r="H543" s="74"/>
    </row>
    <row r="544">
      <c r="A544" s="48"/>
      <c r="C544" s="79"/>
      <c r="D544" s="36"/>
      <c r="E544" s="36"/>
      <c r="F544" s="36"/>
      <c r="G544" s="48"/>
      <c r="H544" s="74"/>
    </row>
    <row r="545">
      <c r="A545" s="48"/>
      <c r="C545" s="79"/>
      <c r="D545" s="36"/>
      <c r="E545" s="36"/>
      <c r="F545" s="36"/>
      <c r="G545" s="48"/>
      <c r="H545" s="74"/>
    </row>
    <row r="546">
      <c r="A546" s="48"/>
      <c r="C546" s="79"/>
      <c r="D546" s="36"/>
      <c r="E546" s="36"/>
      <c r="F546" s="36"/>
      <c r="G546" s="48"/>
      <c r="H546" s="74"/>
    </row>
    <row r="547">
      <c r="A547" s="48"/>
      <c r="C547" s="79"/>
      <c r="D547" s="36"/>
      <c r="E547" s="36"/>
      <c r="F547" s="36"/>
      <c r="G547" s="48"/>
      <c r="H547" s="74"/>
    </row>
    <row r="548">
      <c r="A548" s="48"/>
      <c r="C548" s="79"/>
      <c r="D548" s="36"/>
      <c r="E548" s="36"/>
      <c r="F548" s="36"/>
      <c r="G548" s="48"/>
      <c r="H548" s="74"/>
    </row>
    <row r="549">
      <c r="A549" s="48"/>
      <c r="C549" s="79"/>
      <c r="D549" s="36"/>
      <c r="E549" s="36"/>
      <c r="F549" s="36"/>
      <c r="G549" s="48"/>
      <c r="H549" s="74"/>
    </row>
    <row r="550">
      <c r="A550" s="48"/>
      <c r="C550" s="79"/>
      <c r="D550" s="36"/>
      <c r="E550" s="36"/>
      <c r="F550" s="36"/>
      <c r="G550" s="48"/>
      <c r="H550" s="74"/>
    </row>
    <row r="551">
      <c r="A551" s="48"/>
      <c r="C551" s="79"/>
      <c r="D551" s="36"/>
      <c r="E551" s="36"/>
      <c r="F551" s="36"/>
      <c r="G551" s="48"/>
      <c r="H551" s="74"/>
    </row>
    <row r="552">
      <c r="A552" s="48"/>
      <c r="C552" s="79"/>
      <c r="D552" s="36"/>
      <c r="E552" s="36"/>
      <c r="F552" s="36"/>
      <c r="G552" s="48"/>
      <c r="H552" s="74"/>
    </row>
    <row r="553">
      <c r="A553" s="48"/>
      <c r="C553" s="79"/>
      <c r="D553" s="36"/>
      <c r="E553" s="36"/>
      <c r="F553" s="36"/>
      <c r="G553" s="48"/>
      <c r="H553" s="74"/>
    </row>
    <row r="554">
      <c r="A554" s="48"/>
      <c r="C554" s="79"/>
      <c r="D554" s="36"/>
      <c r="E554" s="36"/>
      <c r="F554" s="36"/>
      <c r="G554" s="48"/>
      <c r="H554" s="74"/>
    </row>
    <row r="555">
      <c r="A555" s="48"/>
      <c r="C555" s="79"/>
      <c r="D555" s="36"/>
      <c r="E555" s="36"/>
      <c r="F555" s="36"/>
      <c r="G555" s="48"/>
      <c r="H555" s="74"/>
    </row>
    <row r="556">
      <c r="A556" s="48"/>
      <c r="C556" s="79"/>
      <c r="D556" s="36"/>
      <c r="E556" s="36"/>
      <c r="F556" s="36"/>
      <c r="G556" s="48"/>
      <c r="H556" s="74"/>
    </row>
    <row r="557">
      <c r="A557" s="48"/>
      <c r="C557" s="79"/>
      <c r="D557" s="36"/>
      <c r="E557" s="36"/>
      <c r="F557" s="36"/>
      <c r="G557" s="48"/>
      <c r="H557" s="74"/>
    </row>
    <row r="558">
      <c r="A558" s="48"/>
      <c r="C558" s="79"/>
      <c r="D558" s="36"/>
      <c r="E558" s="36"/>
      <c r="F558" s="36"/>
      <c r="G558" s="48"/>
      <c r="H558" s="74"/>
    </row>
    <row r="559">
      <c r="A559" s="48"/>
      <c r="C559" s="79"/>
      <c r="D559" s="36"/>
      <c r="E559" s="36"/>
      <c r="F559" s="36"/>
      <c r="G559" s="48"/>
      <c r="H559" s="74"/>
    </row>
    <row r="560">
      <c r="A560" s="48"/>
      <c r="C560" s="79"/>
      <c r="D560" s="36"/>
      <c r="E560" s="36"/>
      <c r="F560" s="36"/>
      <c r="G560" s="48"/>
      <c r="H560" s="74"/>
    </row>
    <row r="561">
      <c r="A561" s="48"/>
      <c r="C561" s="79"/>
      <c r="D561" s="36"/>
      <c r="E561" s="36"/>
      <c r="F561" s="36"/>
      <c r="G561" s="48"/>
      <c r="H561" s="74"/>
    </row>
    <row r="562">
      <c r="A562" s="48"/>
      <c r="C562" s="79"/>
      <c r="D562" s="36"/>
      <c r="E562" s="36"/>
      <c r="F562" s="36"/>
      <c r="G562" s="48"/>
      <c r="H562" s="74"/>
    </row>
    <row r="563">
      <c r="A563" s="48"/>
      <c r="C563" s="79"/>
      <c r="D563" s="36"/>
      <c r="E563" s="36"/>
      <c r="F563" s="36"/>
      <c r="G563" s="48"/>
      <c r="H563" s="74"/>
    </row>
    <row r="564">
      <c r="A564" s="48"/>
      <c r="C564" s="79"/>
      <c r="D564" s="36"/>
      <c r="E564" s="36"/>
      <c r="F564" s="36"/>
      <c r="G564" s="48"/>
      <c r="H564" s="74"/>
    </row>
    <row r="565">
      <c r="A565" s="48"/>
      <c r="C565" s="79"/>
      <c r="D565" s="36"/>
      <c r="E565" s="36"/>
      <c r="F565" s="36"/>
      <c r="G565" s="48"/>
      <c r="H565" s="74"/>
    </row>
    <row r="566">
      <c r="A566" s="48"/>
      <c r="C566" s="79"/>
      <c r="D566" s="36"/>
      <c r="E566" s="36"/>
      <c r="F566" s="36"/>
      <c r="G566" s="48"/>
      <c r="H566" s="74"/>
    </row>
    <row r="567">
      <c r="A567" s="48"/>
      <c r="C567" s="79"/>
      <c r="D567" s="36"/>
      <c r="E567" s="36"/>
      <c r="F567" s="36"/>
      <c r="G567" s="48"/>
      <c r="H567" s="74"/>
    </row>
    <row r="568">
      <c r="A568" s="48"/>
      <c r="C568" s="79"/>
      <c r="D568" s="36"/>
      <c r="E568" s="36"/>
      <c r="F568" s="36"/>
      <c r="G568" s="48"/>
      <c r="H568" s="74"/>
    </row>
    <row r="569">
      <c r="A569" s="48"/>
      <c r="C569" s="79"/>
      <c r="D569" s="36"/>
      <c r="E569" s="36"/>
      <c r="F569" s="36"/>
      <c r="G569" s="48"/>
      <c r="H569" s="74"/>
    </row>
    <row r="570">
      <c r="A570" s="48"/>
      <c r="C570" s="79"/>
      <c r="D570" s="36"/>
      <c r="E570" s="36"/>
      <c r="F570" s="36"/>
      <c r="G570" s="48"/>
      <c r="H570" s="74"/>
    </row>
    <row r="571">
      <c r="A571" s="48"/>
      <c r="C571" s="79"/>
      <c r="D571" s="36"/>
      <c r="E571" s="36"/>
      <c r="F571" s="36"/>
      <c r="G571" s="48"/>
      <c r="H571" s="74"/>
    </row>
    <row r="572">
      <c r="A572" s="48"/>
      <c r="C572" s="79"/>
      <c r="D572" s="36"/>
      <c r="E572" s="36"/>
      <c r="F572" s="36"/>
      <c r="G572" s="48"/>
      <c r="H572" s="74"/>
    </row>
    <row r="573">
      <c r="A573" s="48"/>
      <c r="C573" s="79"/>
      <c r="D573" s="36"/>
      <c r="E573" s="36"/>
      <c r="F573" s="36"/>
      <c r="G573" s="48"/>
      <c r="H573" s="74"/>
    </row>
    <row r="574">
      <c r="A574" s="48"/>
      <c r="C574" s="79"/>
      <c r="D574" s="36"/>
      <c r="E574" s="36"/>
      <c r="F574" s="36"/>
      <c r="G574" s="48"/>
      <c r="H574" s="74"/>
    </row>
    <row r="575">
      <c r="A575" s="48"/>
      <c r="C575" s="79"/>
      <c r="D575" s="36"/>
      <c r="E575" s="36"/>
      <c r="F575" s="36"/>
      <c r="G575" s="48"/>
      <c r="H575" s="74"/>
    </row>
    <row r="576">
      <c r="A576" s="48"/>
      <c r="C576" s="79"/>
      <c r="D576" s="36"/>
      <c r="E576" s="36"/>
      <c r="F576" s="36"/>
      <c r="G576" s="48"/>
      <c r="H576" s="74"/>
    </row>
    <row r="577">
      <c r="A577" s="48"/>
      <c r="C577" s="79"/>
      <c r="D577" s="36"/>
      <c r="E577" s="36"/>
      <c r="F577" s="36"/>
      <c r="G577" s="48"/>
      <c r="H577" s="74"/>
    </row>
    <row r="578">
      <c r="A578" s="48"/>
      <c r="C578" s="79"/>
      <c r="D578" s="36"/>
      <c r="E578" s="36"/>
      <c r="F578" s="36"/>
      <c r="G578" s="48"/>
      <c r="H578" s="74"/>
    </row>
    <row r="579">
      <c r="A579" s="48"/>
      <c r="C579" s="79"/>
      <c r="D579" s="36"/>
      <c r="E579" s="36"/>
      <c r="F579" s="36"/>
      <c r="G579" s="48"/>
      <c r="H579" s="74"/>
    </row>
    <row r="580">
      <c r="A580" s="48"/>
      <c r="C580" s="79"/>
      <c r="D580" s="36"/>
      <c r="E580" s="36"/>
      <c r="F580" s="36"/>
      <c r="G580" s="48"/>
      <c r="H580" s="74"/>
    </row>
    <row r="581">
      <c r="A581" s="48"/>
      <c r="C581" s="79"/>
      <c r="D581" s="36"/>
      <c r="E581" s="36"/>
      <c r="F581" s="36"/>
      <c r="G581" s="48"/>
      <c r="H581" s="74"/>
    </row>
    <row r="582">
      <c r="A582" s="48"/>
      <c r="C582" s="79"/>
      <c r="D582" s="36"/>
      <c r="E582" s="36"/>
      <c r="F582" s="36"/>
      <c r="G582" s="48"/>
      <c r="H582" s="74"/>
    </row>
    <row r="583">
      <c r="A583" s="48"/>
      <c r="C583" s="79"/>
      <c r="D583" s="36"/>
      <c r="E583" s="36"/>
      <c r="F583" s="36"/>
      <c r="G583" s="48"/>
      <c r="H583" s="74"/>
    </row>
    <row r="584">
      <c r="A584" s="48"/>
      <c r="C584" s="79"/>
      <c r="D584" s="36"/>
      <c r="E584" s="36"/>
      <c r="F584" s="36"/>
      <c r="G584" s="48"/>
      <c r="H584" s="74"/>
    </row>
    <row r="585">
      <c r="A585" s="48"/>
      <c r="C585" s="79"/>
      <c r="D585" s="36"/>
      <c r="E585" s="36"/>
      <c r="F585" s="36"/>
      <c r="G585" s="48"/>
      <c r="H585" s="74"/>
    </row>
    <row r="586">
      <c r="A586" s="48"/>
      <c r="C586" s="79"/>
      <c r="D586" s="36"/>
      <c r="E586" s="36"/>
      <c r="F586" s="36"/>
      <c r="G586" s="48"/>
      <c r="H586" s="74"/>
    </row>
    <row r="587">
      <c r="A587" s="48"/>
      <c r="C587" s="79"/>
      <c r="D587" s="36"/>
      <c r="E587" s="36"/>
      <c r="F587" s="36"/>
      <c r="G587" s="48"/>
      <c r="H587" s="74"/>
    </row>
    <row r="588">
      <c r="A588" s="48"/>
      <c r="C588" s="79"/>
      <c r="D588" s="36"/>
      <c r="E588" s="36"/>
      <c r="F588" s="36"/>
      <c r="G588" s="48"/>
      <c r="H588" s="74"/>
    </row>
    <row r="589">
      <c r="A589" s="48"/>
      <c r="C589" s="79"/>
      <c r="D589" s="36"/>
      <c r="E589" s="36"/>
      <c r="F589" s="36"/>
      <c r="G589" s="48"/>
      <c r="H589" s="74"/>
    </row>
    <row r="590">
      <c r="A590" s="48"/>
      <c r="C590" s="79"/>
      <c r="D590" s="36"/>
      <c r="E590" s="36"/>
      <c r="F590" s="36"/>
      <c r="G590" s="48"/>
      <c r="H590" s="74"/>
    </row>
    <row r="591">
      <c r="A591" s="48"/>
      <c r="C591" s="79"/>
      <c r="D591" s="36"/>
      <c r="E591" s="36"/>
      <c r="F591" s="36"/>
      <c r="G591" s="48"/>
      <c r="H591" s="74"/>
    </row>
    <row r="592">
      <c r="A592" s="48"/>
      <c r="C592" s="79"/>
      <c r="D592" s="36"/>
      <c r="E592" s="36"/>
      <c r="F592" s="36"/>
      <c r="G592" s="48"/>
      <c r="H592" s="74"/>
    </row>
    <row r="593">
      <c r="A593" s="48"/>
      <c r="C593" s="79"/>
      <c r="D593" s="36"/>
      <c r="E593" s="36"/>
      <c r="F593" s="36"/>
      <c r="G593" s="48"/>
      <c r="H593" s="74"/>
    </row>
    <row r="594">
      <c r="A594" s="48"/>
      <c r="C594" s="79"/>
      <c r="D594" s="36"/>
      <c r="E594" s="36"/>
      <c r="F594" s="36"/>
      <c r="G594" s="48"/>
      <c r="H594" s="74"/>
    </row>
    <row r="595">
      <c r="A595" s="48"/>
      <c r="C595" s="79"/>
      <c r="D595" s="36"/>
      <c r="E595" s="36"/>
      <c r="F595" s="36"/>
      <c r="G595" s="48"/>
      <c r="H595" s="74"/>
    </row>
    <row r="596">
      <c r="A596" s="48"/>
      <c r="C596" s="79"/>
      <c r="D596" s="36"/>
      <c r="E596" s="36"/>
      <c r="F596" s="36"/>
      <c r="G596" s="48"/>
      <c r="H596" s="74"/>
    </row>
    <row r="597">
      <c r="A597" s="48"/>
      <c r="C597" s="79"/>
      <c r="D597" s="36"/>
      <c r="E597" s="36"/>
      <c r="F597" s="36"/>
      <c r="G597" s="48"/>
      <c r="H597" s="74"/>
    </row>
    <row r="598">
      <c r="A598" s="48"/>
      <c r="C598" s="79"/>
      <c r="D598" s="36"/>
      <c r="E598" s="36"/>
      <c r="F598" s="36"/>
      <c r="G598" s="48"/>
      <c r="H598" s="74"/>
    </row>
    <row r="599">
      <c r="A599" s="48"/>
      <c r="C599" s="79"/>
      <c r="D599" s="36"/>
      <c r="E599" s="36"/>
      <c r="F599" s="36"/>
      <c r="G599" s="48"/>
      <c r="H599" s="74"/>
    </row>
    <row r="600">
      <c r="A600" s="48"/>
      <c r="C600" s="79"/>
      <c r="D600" s="36"/>
      <c r="E600" s="36"/>
      <c r="F600" s="36"/>
      <c r="G600" s="48"/>
      <c r="H600" s="74"/>
    </row>
    <row r="601">
      <c r="A601" s="48"/>
      <c r="C601" s="79"/>
      <c r="D601" s="36"/>
      <c r="E601" s="36"/>
      <c r="F601" s="36"/>
      <c r="G601" s="48"/>
      <c r="H601" s="74"/>
    </row>
    <row r="602">
      <c r="A602" s="48"/>
      <c r="C602" s="79"/>
      <c r="D602" s="36"/>
      <c r="E602" s="36"/>
      <c r="F602" s="36"/>
      <c r="G602" s="48"/>
      <c r="H602" s="74"/>
    </row>
    <row r="603">
      <c r="A603" s="48"/>
      <c r="C603" s="79"/>
      <c r="D603" s="36"/>
      <c r="E603" s="36"/>
      <c r="F603" s="36"/>
      <c r="G603" s="48"/>
      <c r="H603" s="74"/>
    </row>
    <row r="604">
      <c r="A604" s="48"/>
      <c r="C604" s="79"/>
      <c r="D604" s="36"/>
      <c r="E604" s="36"/>
      <c r="F604" s="36"/>
      <c r="G604" s="48"/>
      <c r="H604" s="74"/>
    </row>
    <row r="605">
      <c r="A605" s="48"/>
      <c r="C605" s="79"/>
      <c r="D605" s="36"/>
      <c r="E605" s="36"/>
      <c r="F605" s="36"/>
      <c r="G605" s="48"/>
      <c r="H605" s="74"/>
    </row>
    <row r="606">
      <c r="A606" s="48"/>
      <c r="C606" s="79"/>
      <c r="D606" s="36"/>
      <c r="E606" s="36"/>
      <c r="F606" s="36"/>
      <c r="G606" s="48"/>
      <c r="H606" s="74"/>
    </row>
    <row r="607">
      <c r="A607" s="48"/>
      <c r="C607" s="79"/>
      <c r="D607" s="36"/>
      <c r="E607" s="36"/>
      <c r="F607" s="36"/>
      <c r="G607" s="48"/>
      <c r="H607" s="74"/>
    </row>
    <row r="608">
      <c r="A608" s="48"/>
      <c r="C608" s="79"/>
      <c r="D608" s="36"/>
      <c r="E608" s="36"/>
      <c r="F608" s="36"/>
      <c r="G608" s="48"/>
      <c r="H608" s="74"/>
    </row>
    <row r="609">
      <c r="A609" s="48"/>
      <c r="C609" s="79"/>
      <c r="D609" s="36"/>
      <c r="E609" s="36"/>
      <c r="F609" s="36"/>
      <c r="G609" s="48"/>
      <c r="H609" s="74"/>
    </row>
    <row r="610">
      <c r="A610" s="48"/>
      <c r="C610" s="79"/>
      <c r="D610" s="36"/>
      <c r="E610" s="36"/>
      <c r="F610" s="36"/>
      <c r="G610" s="48"/>
      <c r="H610" s="74"/>
    </row>
    <row r="611">
      <c r="A611" s="48"/>
      <c r="C611" s="79"/>
      <c r="D611" s="36"/>
      <c r="E611" s="36"/>
      <c r="F611" s="36"/>
      <c r="G611" s="48"/>
      <c r="H611" s="74"/>
    </row>
    <row r="612">
      <c r="A612" s="48"/>
      <c r="C612" s="79"/>
      <c r="D612" s="36"/>
      <c r="E612" s="36"/>
      <c r="F612" s="36"/>
      <c r="G612" s="48"/>
      <c r="H612" s="74"/>
    </row>
    <row r="613">
      <c r="A613" s="48"/>
      <c r="C613" s="79"/>
      <c r="D613" s="36"/>
      <c r="E613" s="36"/>
      <c r="F613" s="36"/>
      <c r="G613" s="48"/>
      <c r="H613" s="74"/>
    </row>
    <row r="614">
      <c r="A614" s="48"/>
      <c r="C614" s="79"/>
      <c r="D614" s="36"/>
      <c r="E614" s="36"/>
      <c r="F614" s="36"/>
      <c r="G614" s="48"/>
      <c r="H614" s="74"/>
    </row>
    <row r="615">
      <c r="A615" s="48"/>
      <c r="C615" s="79"/>
      <c r="D615" s="36"/>
      <c r="E615" s="36"/>
      <c r="F615" s="36"/>
      <c r="G615" s="48"/>
      <c r="H615" s="74"/>
    </row>
    <row r="616">
      <c r="A616" s="48"/>
      <c r="C616" s="79"/>
      <c r="D616" s="36"/>
      <c r="E616" s="36"/>
      <c r="F616" s="36"/>
      <c r="G616" s="48"/>
      <c r="H616" s="74"/>
    </row>
    <row r="617">
      <c r="A617" s="48"/>
      <c r="C617" s="79"/>
      <c r="D617" s="36"/>
      <c r="E617" s="36"/>
      <c r="F617" s="36"/>
      <c r="G617" s="48"/>
      <c r="H617" s="74"/>
    </row>
    <row r="618">
      <c r="A618" s="48"/>
      <c r="C618" s="79"/>
      <c r="D618" s="36"/>
      <c r="E618" s="36"/>
      <c r="F618" s="36"/>
      <c r="G618" s="48"/>
      <c r="H618" s="74"/>
    </row>
    <row r="619">
      <c r="A619" s="48"/>
      <c r="C619" s="79"/>
      <c r="D619" s="36"/>
      <c r="E619" s="36"/>
      <c r="F619" s="36"/>
      <c r="G619" s="48"/>
      <c r="H619" s="74"/>
    </row>
    <row r="620">
      <c r="A620" s="48"/>
      <c r="C620" s="79"/>
      <c r="D620" s="36"/>
      <c r="E620" s="36"/>
      <c r="F620" s="36"/>
      <c r="G620" s="48"/>
      <c r="H620" s="74"/>
    </row>
    <row r="621">
      <c r="A621" s="48"/>
      <c r="C621" s="79"/>
      <c r="D621" s="36"/>
      <c r="E621" s="36"/>
      <c r="F621" s="36"/>
      <c r="G621" s="48"/>
      <c r="H621" s="74"/>
    </row>
    <row r="622">
      <c r="A622" s="48"/>
      <c r="C622" s="79"/>
      <c r="D622" s="36"/>
      <c r="E622" s="36"/>
      <c r="F622" s="36"/>
      <c r="G622" s="48"/>
      <c r="H622" s="74"/>
    </row>
    <row r="623">
      <c r="A623" s="48"/>
      <c r="C623" s="79"/>
      <c r="D623" s="36"/>
      <c r="E623" s="36"/>
      <c r="F623" s="36"/>
      <c r="G623" s="48"/>
      <c r="H623" s="74"/>
    </row>
    <row r="624">
      <c r="A624" s="48"/>
      <c r="C624" s="79"/>
      <c r="D624" s="36"/>
      <c r="E624" s="36"/>
      <c r="F624" s="36"/>
      <c r="G624" s="48"/>
      <c r="H624" s="74"/>
    </row>
    <row r="625">
      <c r="A625" s="48"/>
      <c r="C625" s="79"/>
      <c r="D625" s="36"/>
      <c r="E625" s="36"/>
      <c r="F625" s="36"/>
      <c r="G625" s="48"/>
      <c r="H625" s="74"/>
    </row>
    <row r="626">
      <c r="A626" s="48"/>
      <c r="C626" s="79"/>
      <c r="D626" s="36"/>
      <c r="E626" s="36"/>
      <c r="F626" s="36"/>
      <c r="G626" s="48"/>
      <c r="H626" s="74"/>
    </row>
    <row r="627">
      <c r="A627" s="48"/>
      <c r="C627" s="79"/>
      <c r="D627" s="36"/>
      <c r="E627" s="36"/>
      <c r="F627" s="36"/>
      <c r="G627" s="48"/>
      <c r="H627" s="74"/>
    </row>
    <row r="628">
      <c r="A628" s="48"/>
      <c r="C628" s="79"/>
      <c r="D628" s="36"/>
      <c r="E628" s="36"/>
      <c r="F628" s="36"/>
      <c r="G628" s="48"/>
      <c r="H628" s="74"/>
    </row>
    <row r="629">
      <c r="A629" s="48"/>
      <c r="C629" s="79"/>
      <c r="D629" s="36"/>
      <c r="E629" s="36"/>
      <c r="F629" s="36"/>
      <c r="G629" s="48"/>
      <c r="H629" s="74"/>
    </row>
    <row r="630">
      <c r="A630" s="48"/>
      <c r="C630" s="79"/>
      <c r="D630" s="36"/>
      <c r="E630" s="36"/>
      <c r="F630" s="36"/>
      <c r="G630" s="48"/>
      <c r="H630" s="74"/>
    </row>
    <row r="631">
      <c r="A631" s="48"/>
      <c r="C631" s="79"/>
      <c r="D631" s="36"/>
      <c r="E631" s="36"/>
      <c r="F631" s="36"/>
      <c r="G631" s="48"/>
      <c r="H631" s="74"/>
    </row>
    <row r="632">
      <c r="A632" s="48"/>
      <c r="C632" s="79"/>
      <c r="D632" s="36"/>
      <c r="E632" s="36"/>
      <c r="F632" s="36"/>
      <c r="G632" s="48"/>
      <c r="H632" s="74"/>
    </row>
    <row r="633">
      <c r="A633" s="48"/>
      <c r="C633" s="79"/>
      <c r="D633" s="36"/>
      <c r="E633" s="36"/>
      <c r="F633" s="36"/>
      <c r="G633" s="48"/>
      <c r="H633" s="74"/>
    </row>
    <row r="634">
      <c r="A634" s="48"/>
      <c r="C634" s="79"/>
      <c r="D634" s="36"/>
      <c r="E634" s="36"/>
      <c r="F634" s="36"/>
      <c r="G634" s="48"/>
      <c r="H634" s="74"/>
    </row>
    <row r="635">
      <c r="A635" s="48"/>
      <c r="C635" s="79"/>
      <c r="D635" s="36"/>
      <c r="E635" s="36"/>
      <c r="F635" s="36"/>
      <c r="G635" s="48"/>
      <c r="H635" s="74"/>
    </row>
    <row r="636">
      <c r="A636" s="48"/>
      <c r="C636" s="79"/>
      <c r="D636" s="36"/>
      <c r="E636" s="36"/>
      <c r="F636" s="36"/>
      <c r="G636" s="48"/>
      <c r="H636" s="74"/>
    </row>
    <row r="637">
      <c r="A637" s="48"/>
      <c r="C637" s="79"/>
      <c r="D637" s="36"/>
      <c r="E637" s="36"/>
      <c r="F637" s="36"/>
      <c r="G637" s="48"/>
      <c r="H637" s="74"/>
    </row>
    <row r="638">
      <c r="A638" s="48"/>
      <c r="C638" s="79"/>
      <c r="D638" s="36"/>
      <c r="E638" s="36"/>
      <c r="F638" s="36"/>
      <c r="G638" s="48"/>
      <c r="H638" s="74"/>
    </row>
    <row r="639">
      <c r="A639" s="48"/>
      <c r="C639" s="79"/>
      <c r="D639" s="36"/>
      <c r="E639" s="36"/>
      <c r="F639" s="36"/>
      <c r="G639" s="48"/>
      <c r="H639" s="74"/>
    </row>
    <row r="640">
      <c r="A640" s="48"/>
      <c r="C640" s="79"/>
      <c r="D640" s="36"/>
      <c r="E640" s="36"/>
      <c r="F640" s="36"/>
      <c r="G640" s="48"/>
      <c r="H640" s="74"/>
    </row>
    <row r="641">
      <c r="A641" s="48"/>
      <c r="C641" s="79"/>
      <c r="D641" s="36"/>
      <c r="E641" s="36"/>
      <c r="F641" s="36"/>
      <c r="G641" s="48"/>
      <c r="H641" s="74"/>
    </row>
    <row r="642">
      <c r="A642" s="48"/>
      <c r="C642" s="79"/>
      <c r="D642" s="36"/>
      <c r="E642" s="36"/>
      <c r="F642" s="36"/>
      <c r="G642" s="48"/>
      <c r="H642" s="74"/>
    </row>
    <row r="643">
      <c r="A643" s="48"/>
      <c r="C643" s="79"/>
      <c r="D643" s="36"/>
      <c r="E643" s="36"/>
      <c r="F643" s="36"/>
      <c r="G643" s="48"/>
      <c r="H643" s="74"/>
    </row>
    <row r="644">
      <c r="A644" s="48"/>
      <c r="C644" s="79"/>
      <c r="D644" s="36"/>
      <c r="E644" s="36"/>
      <c r="F644" s="36"/>
      <c r="G644" s="48"/>
      <c r="H644" s="74"/>
    </row>
    <row r="645">
      <c r="A645" s="48"/>
      <c r="C645" s="79"/>
      <c r="D645" s="36"/>
      <c r="E645" s="36"/>
      <c r="F645" s="36"/>
      <c r="G645" s="48"/>
      <c r="H645" s="74"/>
    </row>
    <row r="646">
      <c r="A646" s="48"/>
      <c r="C646" s="79"/>
      <c r="D646" s="36"/>
      <c r="E646" s="36"/>
      <c r="F646" s="36"/>
      <c r="G646" s="48"/>
      <c r="H646" s="74"/>
    </row>
    <row r="647">
      <c r="A647" s="48"/>
      <c r="C647" s="79"/>
      <c r="D647" s="36"/>
      <c r="E647" s="36"/>
      <c r="F647" s="36"/>
      <c r="G647" s="48"/>
      <c r="H647" s="74"/>
    </row>
    <row r="648">
      <c r="A648" s="48"/>
      <c r="C648" s="79"/>
      <c r="D648" s="36"/>
      <c r="E648" s="36"/>
      <c r="F648" s="36"/>
      <c r="G648" s="48"/>
      <c r="H648" s="74"/>
    </row>
    <row r="649">
      <c r="A649" s="48"/>
      <c r="C649" s="79"/>
      <c r="D649" s="36"/>
      <c r="E649" s="36"/>
      <c r="F649" s="36"/>
      <c r="G649" s="48"/>
      <c r="H649" s="74"/>
    </row>
    <row r="650">
      <c r="A650" s="48"/>
      <c r="C650" s="79"/>
      <c r="D650" s="36"/>
      <c r="E650" s="36"/>
      <c r="F650" s="36"/>
      <c r="G650" s="48"/>
      <c r="H650" s="74"/>
    </row>
    <row r="651">
      <c r="A651" s="48"/>
      <c r="C651" s="79"/>
      <c r="D651" s="36"/>
      <c r="E651" s="36"/>
      <c r="F651" s="36"/>
      <c r="G651" s="48"/>
      <c r="H651" s="74"/>
    </row>
    <row r="652">
      <c r="A652" s="48"/>
      <c r="C652" s="79"/>
      <c r="D652" s="36"/>
      <c r="E652" s="36"/>
      <c r="F652" s="36"/>
      <c r="G652" s="48"/>
      <c r="H652" s="74"/>
    </row>
    <row r="653">
      <c r="A653" s="48"/>
      <c r="C653" s="79"/>
      <c r="D653" s="36"/>
      <c r="E653" s="36"/>
      <c r="F653" s="36"/>
      <c r="G653" s="48"/>
      <c r="H653" s="74"/>
    </row>
    <row r="654">
      <c r="A654" s="48"/>
      <c r="C654" s="79"/>
      <c r="D654" s="36"/>
      <c r="E654" s="36"/>
      <c r="F654" s="36"/>
      <c r="G654" s="48"/>
      <c r="H654" s="74"/>
    </row>
    <row r="655">
      <c r="A655" s="48"/>
      <c r="C655" s="79"/>
      <c r="D655" s="36"/>
      <c r="E655" s="36"/>
      <c r="F655" s="36"/>
      <c r="G655" s="48"/>
      <c r="H655" s="74"/>
    </row>
    <row r="656">
      <c r="A656" s="48"/>
      <c r="C656" s="79"/>
      <c r="D656" s="36"/>
      <c r="E656" s="36"/>
      <c r="F656" s="36"/>
      <c r="G656" s="48"/>
      <c r="H656" s="74"/>
    </row>
    <row r="657">
      <c r="A657" s="48"/>
      <c r="C657" s="79"/>
      <c r="D657" s="36"/>
      <c r="E657" s="36"/>
      <c r="F657" s="36"/>
      <c r="G657" s="48"/>
      <c r="H657" s="74"/>
    </row>
    <row r="658">
      <c r="A658" s="48"/>
      <c r="C658" s="79"/>
      <c r="D658" s="36"/>
      <c r="E658" s="36"/>
      <c r="F658" s="36"/>
      <c r="G658" s="48"/>
      <c r="H658" s="74"/>
    </row>
    <row r="659">
      <c r="A659" s="48"/>
      <c r="C659" s="79"/>
      <c r="D659" s="36"/>
      <c r="E659" s="36"/>
      <c r="F659" s="36"/>
      <c r="G659" s="48"/>
      <c r="H659" s="74"/>
    </row>
    <row r="660">
      <c r="A660" s="48"/>
      <c r="C660" s="79"/>
      <c r="D660" s="36"/>
      <c r="E660" s="36"/>
      <c r="F660" s="36"/>
      <c r="G660" s="48"/>
      <c r="H660" s="74"/>
    </row>
    <row r="661">
      <c r="A661" s="48"/>
      <c r="C661" s="79"/>
      <c r="D661" s="36"/>
      <c r="E661" s="36"/>
      <c r="F661" s="36"/>
      <c r="G661" s="48"/>
      <c r="H661" s="74"/>
    </row>
    <row r="662">
      <c r="A662" s="48"/>
      <c r="C662" s="79"/>
      <c r="D662" s="36"/>
      <c r="E662" s="36"/>
      <c r="F662" s="36"/>
      <c r="G662" s="48"/>
      <c r="H662" s="74"/>
    </row>
    <row r="663">
      <c r="A663" s="48"/>
      <c r="C663" s="79"/>
      <c r="D663" s="36"/>
      <c r="E663" s="36"/>
      <c r="F663" s="36"/>
      <c r="G663" s="48"/>
      <c r="H663" s="74"/>
    </row>
    <row r="664">
      <c r="A664" s="48"/>
      <c r="C664" s="79"/>
      <c r="D664" s="36"/>
      <c r="E664" s="36"/>
      <c r="F664" s="36"/>
      <c r="G664" s="48"/>
      <c r="H664" s="74"/>
    </row>
    <row r="665">
      <c r="A665" s="48"/>
      <c r="C665" s="79"/>
      <c r="D665" s="36"/>
      <c r="E665" s="36"/>
      <c r="F665" s="36"/>
      <c r="G665" s="48"/>
      <c r="H665" s="74"/>
    </row>
    <row r="666">
      <c r="A666" s="48"/>
      <c r="C666" s="79"/>
      <c r="D666" s="36"/>
      <c r="E666" s="36"/>
      <c r="F666" s="36"/>
      <c r="G666" s="48"/>
      <c r="H666" s="74"/>
    </row>
    <row r="667">
      <c r="A667" s="48"/>
      <c r="C667" s="79"/>
      <c r="D667" s="36"/>
      <c r="E667" s="36"/>
      <c r="F667" s="36"/>
      <c r="G667" s="48"/>
      <c r="H667" s="74"/>
    </row>
    <row r="668">
      <c r="A668" s="48"/>
      <c r="C668" s="79"/>
      <c r="D668" s="36"/>
      <c r="E668" s="36"/>
      <c r="F668" s="36"/>
      <c r="G668" s="48"/>
      <c r="H668" s="74"/>
    </row>
    <row r="669">
      <c r="A669" s="48"/>
      <c r="C669" s="79"/>
      <c r="D669" s="36"/>
      <c r="E669" s="36"/>
      <c r="F669" s="36"/>
      <c r="G669" s="48"/>
      <c r="H669" s="74"/>
    </row>
    <row r="670">
      <c r="A670" s="48"/>
      <c r="C670" s="79"/>
      <c r="D670" s="36"/>
      <c r="E670" s="36"/>
      <c r="F670" s="36"/>
      <c r="G670" s="48"/>
      <c r="H670" s="74"/>
    </row>
    <row r="671">
      <c r="A671" s="48"/>
      <c r="C671" s="79"/>
      <c r="D671" s="36"/>
      <c r="E671" s="36"/>
      <c r="F671" s="36"/>
      <c r="G671" s="48"/>
      <c r="H671" s="74"/>
    </row>
    <row r="672">
      <c r="A672" s="48"/>
      <c r="C672" s="79"/>
      <c r="D672" s="36"/>
      <c r="E672" s="36"/>
      <c r="F672" s="36"/>
      <c r="G672" s="48"/>
      <c r="H672" s="74"/>
    </row>
    <row r="673">
      <c r="A673" s="48"/>
      <c r="C673" s="79"/>
      <c r="D673" s="36"/>
      <c r="E673" s="36"/>
      <c r="F673" s="36"/>
      <c r="G673" s="48"/>
      <c r="H673" s="74"/>
    </row>
    <row r="674">
      <c r="A674" s="48"/>
      <c r="C674" s="79"/>
      <c r="D674" s="36"/>
      <c r="E674" s="36"/>
      <c r="F674" s="36"/>
      <c r="G674" s="48"/>
      <c r="H674" s="74"/>
    </row>
    <row r="675">
      <c r="A675" s="48"/>
      <c r="C675" s="79"/>
      <c r="D675" s="36"/>
      <c r="E675" s="36"/>
      <c r="F675" s="36"/>
      <c r="G675" s="48"/>
      <c r="H675" s="74"/>
    </row>
    <row r="676">
      <c r="A676" s="48"/>
      <c r="C676" s="79"/>
      <c r="D676" s="36"/>
      <c r="E676" s="36"/>
      <c r="F676" s="36"/>
      <c r="G676" s="48"/>
      <c r="H676" s="74"/>
    </row>
    <row r="677">
      <c r="A677" s="48"/>
      <c r="C677" s="79"/>
      <c r="D677" s="36"/>
      <c r="E677" s="36"/>
      <c r="F677" s="36"/>
      <c r="G677" s="48"/>
      <c r="H677" s="74"/>
    </row>
    <row r="678">
      <c r="A678" s="48"/>
      <c r="C678" s="79"/>
      <c r="D678" s="36"/>
      <c r="E678" s="36"/>
      <c r="F678" s="36"/>
      <c r="G678" s="48"/>
      <c r="H678" s="74"/>
    </row>
    <row r="679">
      <c r="A679" s="48"/>
      <c r="C679" s="79"/>
      <c r="D679" s="36"/>
      <c r="E679" s="36"/>
      <c r="F679" s="36"/>
      <c r="G679" s="48"/>
      <c r="H679" s="74"/>
    </row>
    <row r="680">
      <c r="A680" s="48"/>
      <c r="C680" s="79"/>
      <c r="D680" s="36"/>
      <c r="E680" s="36"/>
      <c r="F680" s="36"/>
      <c r="G680" s="48"/>
      <c r="H680" s="74"/>
    </row>
    <row r="681">
      <c r="A681" s="48"/>
      <c r="C681" s="79"/>
      <c r="D681" s="36"/>
      <c r="E681" s="36"/>
      <c r="F681" s="36"/>
      <c r="G681" s="48"/>
      <c r="H681" s="74"/>
    </row>
    <row r="682">
      <c r="A682" s="48"/>
      <c r="C682" s="79"/>
      <c r="D682" s="36"/>
      <c r="E682" s="36"/>
      <c r="F682" s="36"/>
      <c r="G682" s="48"/>
      <c r="H682" s="74"/>
    </row>
    <row r="683">
      <c r="A683" s="48"/>
      <c r="C683" s="79"/>
      <c r="D683" s="36"/>
      <c r="E683" s="36"/>
      <c r="F683" s="36"/>
      <c r="G683" s="48"/>
      <c r="H683" s="74"/>
    </row>
    <row r="684">
      <c r="A684" s="48"/>
      <c r="C684" s="79"/>
      <c r="D684" s="36"/>
      <c r="E684" s="36"/>
      <c r="F684" s="36"/>
      <c r="G684" s="48"/>
      <c r="H684" s="74"/>
    </row>
    <row r="685">
      <c r="A685" s="48"/>
      <c r="C685" s="79"/>
      <c r="D685" s="36"/>
      <c r="E685" s="36"/>
      <c r="F685" s="36"/>
      <c r="G685" s="48"/>
      <c r="H685" s="74"/>
    </row>
    <row r="686">
      <c r="A686" s="48"/>
      <c r="C686" s="79"/>
      <c r="D686" s="36"/>
      <c r="E686" s="36"/>
      <c r="F686" s="36"/>
      <c r="G686" s="48"/>
      <c r="H686" s="74"/>
    </row>
    <row r="687">
      <c r="A687" s="48"/>
      <c r="C687" s="79"/>
      <c r="D687" s="36"/>
      <c r="E687" s="36"/>
      <c r="F687" s="36"/>
      <c r="G687" s="48"/>
      <c r="H687" s="74"/>
    </row>
    <row r="688">
      <c r="A688" s="48"/>
      <c r="C688" s="79"/>
      <c r="D688" s="36"/>
      <c r="E688" s="36"/>
      <c r="F688" s="36"/>
      <c r="G688" s="48"/>
      <c r="H688" s="74"/>
    </row>
    <row r="689">
      <c r="A689" s="48"/>
      <c r="C689" s="79"/>
      <c r="D689" s="36"/>
      <c r="E689" s="36"/>
      <c r="F689" s="36"/>
      <c r="G689" s="48"/>
      <c r="H689" s="74"/>
    </row>
    <row r="690">
      <c r="A690" s="48"/>
      <c r="C690" s="79"/>
      <c r="D690" s="36"/>
      <c r="E690" s="36"/>
      <c r="F690" s="36"/>
      <c r="G690" s="48"/>
      <c r="H690" s="74"/>
    </row>
    <row r="691">
      <c r="A691" s="48"/>
      <c r="C691" s="79"/>
      <c r="D691" s="36"/>
      <c r="E691" s="36"/>
      <c r="F691" s="36"/>
      <c r="G691" s="48"/>
      <c r="H691" s="74"/>
    </row>
    <row r="692">
      <c r="A692" s="48"/>
      <c r="C692" s="79"/>
      <c r="D692" s="36"/>
      <c r="E692" s="36"/>
      <c r="F692" s="36"/>
      <c r="G692" s="48"/>
      <c r="H692" s="74"/>
    </row>
    <row r="693">
      <c r="A693" s="48"/>
      <c r="C693" s="79"/>
      <c r="D693" s="36"/>
      <c r="E693" s="36"/>
      <c r="F693" s="36"/>
      <c r="G693" s="48"/>
      <c r="H693" s="74"/>
    </row>
    <row r="694">
      <c r="A694" s="48"/>
      <c r="C694" s="79"/>
      <c r="D694" s="36"/>
      <c r="E694" s="36"/>
      <c r="F694" s="36"/>
      <c r="G694" s="48"/>
      <c r="H694" s="74"/>
    </row>
    <row r="695">
      <c r="A695" s="48"/>
      <c r="C695" s="79"/>
      <c r="D695" s="36"/>
      <c r="E695" s="36"/>
      <c r="F695" s="36"/>
      <c r="G695" s="48"/>
      <c r="H695" s="74"/>
    </row>
    <row r="696">
      <c r="A696" s="48"/>
      <c r="C696" s="79"/>
      <c r="D696" s="36"/>
      <c r="E696" s="36"/>
      <c r="F696" s="36"/>
      <c r="G696" s="48"/>
      <c r="H696" s="74"/>
    </row>
    <row r="697">
      <c r="A697" s="48"/>
      <c r="C697" s="79"/>
      <c r="D697" s="36"/>
      <c r="E697" s="36"/>
      <c r="F697" s="36"/>
      <c r="G697" s="48"/>
      <c r="H697" s="74"/>
    </row>
    <row r="698">
      <c r="A698" s="48"/>
      <c r="C698" s="79"/>
      <c r="D698" s="36"/>
      <c r="E698" s="36"/>
      <c r="F698" s="36"/>
      <c r="G698" s="48"/>
      <c r="H698" s="74"/>
    </row>
    <row r="699">
      <c r="A699" s="48"/>
      <c r="C699" s="79"/>
      <c r="D699" s="36"/>
      <c r="E699" s="36"/>
      <c r="F699" s="36"/>
      <c r="G699" s="48"/>
      <c r="H699" s="74"/>
    </row>
    <row r="700">
      <c r="A700" s="48"/>
      <c r="C700" s="79"/>
      <c r="D700" s="36"/>
      <c r="E700" s="36"/>
      <c r="F700" s="36"/>
      <c r="G700" s="48"/>
      <c r="H700" s="74"/>
    </row>
    <row r="701">
      <c r="A701" s="48"/>
      <c r="C701" s="79"/>
      <c r="D701" s="36"/>
      <c r="E701" s="36"/>
      <c r="F701" s="36"/>
      <c r="G701" s="48"/>
      <c r="H701" s="74"/>
    </row>
    <row r="702">
      <c r="A702" s="48"/>
      <c r="C702" s="79"/>
      <c r="D702" s="36"/>
      <c r="E702" s="36"/>
      <c r="F702" s="36"/>
      <c r="G702" s="48"/>
      <c r="H702" s="74"/>
    </row>
    <row r="703">
      <c r="A703" s="48"/>
      <c r="C703" s="79"/>
      <c r="D703" s="36"/>
      <c r="E703" s="36"/>
      <c r="F703" s="36"/>
      <c r="G703" s="48"/>
      <c r="H703" s="74"/>
    </row>
    <row r="704">
      <c r="A704" s="48"/>
      <c r="C704" s="79"/>
      <c r="D704" s="36"/>
      <c r="E704" s="36"/>
      <c r="F704" s="36"/>
      <c r="G704" s="48"/>
      <c r="H704" s="74"/>
    </row>
    <row r="705">
      <c r="A705" s="48"/>
      <c r="C705" s="79"/>
      <c r="D705" s="36"/>
      <c r="E705" s="36"/>
      <c r="F705" s="36"/>
      <c r="G705" s="48"/>
      <c r="H705" s="74"/>
    </row>
    <row r="706">
      <c r="A706" s="48"/>
      <c r="C706" s="79"/>
      <c r="D706" s="36"/>
      <c r="E706" s="36"/>
      <c r="F706" s="36"/>
      <c r="G706" s="48"/>
      <c r="H706" s="74"/>
    </row>
    <row r="707">
      <c r="A707" s="48"/>
      <c r="C707" s="79"/>
      <c r="D707" s="36"/>
      <c r="E707" s="36"/>
      <c r="F707" s="36"/>
      <c r="G707" s="48"/>
      <c r="H707" s="74"/>
    </row>
    <row r="708">
      <c r="A708" s="48"/>
      <c r="C708" s="79"/>
      <c r="D708" s="36"/>
      <c r="E708" s="36"/>
      <c r="F708" s="36"/>
      <c r="G708" s="48"/>
      <c r="H708" s="74"/>
    </row>
    <row r="709">
      <c r="A709" s="48"/>
      <c r="C709" s="79"/>
      <c r="D709" s="36"/>
      <c r="E709" s="36"/>
      <c r="F709" s="36"/>
      <c r="G709" s="48"/>
      <c r="H709" s="74"/>
    </row>
    <row r="710">
      <c r="A710" s="48"/>
      <c r="C710" s="79"/>
      <c r="D710" s="36"/>
      <c r="E710" s="36"/>
      <c r="F710" s="36"/>
      <c r="G710" s="48"/>
      <c r="H710" s="74"/>
    </row>
    <row r="711">
      <c r="A711" s="48"/>
      <c r="C711" s="79"/>
      <c r="D711" s="36"/>
      <c r="E711" s="36"/>
      <c r="F711" s="36"/>
      <c r="G711" s="48"/>
      <c r="H711" s="74"/>
    </row>
    <row r="712">
      <c r="A712" s="48"/>
      <c r="C712" s="79"/>
      <c r="D712" s="36"/>
      <c r="E712" s="36"/>
      <c r="F712" s="36"/>
      <c r="G712" s="48"/>
      <c r="H712" s="74"/>
    </row>
    <row r="713">
      <c r="A713" s="48"/>
      <c r="C713" s="79"/>
      <c r="D713" s="36"/>
      <c r="E713" s="36"/>
      <c r="F713" s="36"/>
      <c r="G713" s="48"/>
      <c r="H713" s="74"/>
    </row>
    <row r="714">
      <c r="A714" s="48"/>
      <c r="C714" s="79"/>
      <c r="D714" s="36"/>
      <c r="E714" s="36"/>
      <c r="F714" s="36"/>
      <c r="G714" s="48"/>
      <c r="H714" s="74"/>
    </row>
    <row r="715">
      <c r="A715" s="48"/>
      <c r="C715" s="79"/>
      <c r="D715" s="36"/>
      <c r="E715" s="36"/>
      <c r="F715" s="36"/>
      <c r="G715" s="48"/>
      <c r="H715" s="74"/>
    </row>
    <row r="716">
      <c r="A716" s="48"/>
      <c r="C716" s="79"/>
      <c r="D716" s="36"/>
      <c r="E716" s="36"/>
      <c r="F716" s="36"/>
      <c r="G716" s="48"/>
      <c r="H716" s="74"/>
    </row>
    <row r="717">
      <c r="A717" s="48"/>
      <c r="C717" s="79"/>
      <c r="D717" s="36"/>
      <c r="E717" s="36"/>
      <c r="F717" s="36"/>
      <c r="G717" s="48"/>
      <c r="H717" s="74"/>
    </row>
    <row r="718">
      <c r="A718" s="48"/>
      <c r="C718" s="79"/>
      <c r="D718" s="36"/>
      <c r="E718" s="36"/>
      <c r="F718" s="36"/>
      <c r="G718" s="48"/>
      <c r="H718" s="74"/>
    </row>
    <row r="719">
      <c r="A719" s="48"/>
      <c r="C719" s="79"/>
      <c r="D719" s="36"/>
      <c r="E719" s="36"/>
      <c r="F719" s="36"/>
      <c r="G719" s="48"/>
      <c r="H719" s="74"/>
    </row>
    <row r="720">
      <c r="A720" s="48"/>
      <c r="C720" s="79"/>
      <c r="D720" s="36"/>
      <c r="E720" s="36"/>
      <c r="F720" s="36"/>
      <c r="G720" s="48"/>
      <c r="H720" s="74"/>
    </row>
    <row r="721">
      <c r="A721" s="48"/>
      <c r="C721" s="79"/>
      <c r="D721" s="36"/>
      <c r="E721" s="36"/>
      <c r="F721" s="36"/>
      <c r="G721" s="48"/>
      <c r="H721" s="74"/>
    </row>
    <row r="722">
      <c r="A722" s="48"/>
      <c r="C722" s="79"/>
      <c r="D722" s="36"/>
      <c r="E722" s="36"/>
      <c r="F722" s="36"/>
      <c r="G722" s="48"/>
      <c r="H722" s="74"/>
    </row>
    <row r="723">
      <c r="A723" s="48"/>
      <c r="C723" s="79"/>
      <c r="D723" s="36"/>
      <c r="E723" s="36"/>
      <c r="F723" s="36"/>
      <c r="G723" s="48"/>
      <c r="H723" s="74"/>
    </row>
    <row r="724">
      <c r="A724" s="48"/>
      <c r="C724" s="79"/>
      <c r="D724" s="36"/>
      <c r="E724" s="36"/>
      <c r="F724" s="36"/>
      <c r="G724" s="48"/>
      <c r="H724" s="74"/>
    </row>
    <row r="725">
      <c r="A725" s="48"/>
      <c r="C725" s="79"/>
      <c r="D725" s="36"/>
      <c r="E725" s="36"/>
      <c r="F725" s="36"/>
      <c r="G725" s="48"/>
      <c r="H725" s="74"/>
    </row>
    <row r="726">
      <c r="A726" s="48"/>
      <c r="C726" s="79"/>
      <c r="D726" s="36"/>
      <c r="E726" s="36"/>
      <c r="F726" s="36"/>
      <c r="G726" s="48"/>
      <c r="H726" s="74"/>
    </row>
    <row r="727">
      <c r="A727" s="48"/>
      <c r="C727" s="79"/>
      <c r="D727" s="36"/>
      <c r="E727" s="36"/>
      <c r="F727" s="36"/>
      <c r="G727" s="48"/>
      <c r="H727" s="74"/>
    </row>
    <row r="728">
      <c r="A728" s="48"/>
      <c r="C728" s="79"/>
      <c r="D728" s="36"/>
      <c r="E728" s="36"/>
      <c r="F728" s="36"/>
      <c r="G728" s="48"/>
      <c r="H728" s="74"/>
    </row>
    <row r="729">
      <c r="A729" s="48"/>
      <c r="C729" s="79"/>
      <c r="D729" s="36"/>
      <c r="E729" s="36"/>
      <c r="F729" s="36"/>
      <c r="G729" s="48"/>
      <c r="H729" s="74"/>
    </row>
    <row r="730">
      <c r="A730" s="48"/>
      <c r="C730" s="79"/>
      <c r="D730" s="36"/>
      <c r="E730" s="36"/>
      <c r="F730" s="36"/>
      <c r="G730" s="48"/>
      <c r="H730" s="74"/>
    </row>
    <row r="731">
      <c r="A731" s="48"/>
      <c r="C731" s="79"/>
      <c r="D731" s="36"/>
      <c r="E731" s="36"/>
      <c r="F731" s="36"/>
      <c r="G731" s="48"/>
      <c r="H731" s="74"/>
    </row>
    <row r="732">
      <c r="A732" s="48"/>
      <c r="C732" s="79"/>
      <c r="D732" s="36"/>
      <c r="E732" s="36"/>
      <c r="F732" s="36"/>
      <c r="G732" s="48"/>
      <c r="H732" s="74"/>
    </row>
    <row r="733">
      <c r="A733" s="48"/>
      <c r="C733" s="79"/>
      <c r="D733" s="36"/>
      <c r="E733" s="36"/>
      <c r="F733" s="36"/>
      <c r="G733" s="48"/>
      <c r="H733" s="74"/>
    </row>
    <row r="734">
      <c r="A734" s="48"/>
      <c r="C734" s="79"/>
      <c r="D734" s="36"/>
      <c r="E734" s="36"/>
      <c r="F734" s="36"/>
      <c r="G734" s="48"/>
      <c r="H734" s="74"/>
    </row>
    <row r="735">
      <c r="A735" s="48"/>
      <c r="C735" s="79"/>
      <c r="D735" s="36"/>
      <c r="E735" s="36"/>
      <c r="F735" s="36"/>
      <c r="G735" s="48"/>
      <c r="H735" s="74"/>
    </row>
    <row r="736">
      <c r="A736" s="48"/>
      <c r="C736" s="79"/>
      <c r="D736" s="36"/>
      <c r="E736" s="36"/>
      <c r="F736" s="36"/>
      <c r="G736" s="48"/>
      <c r="H736" s="74"/>
    </row>
    <row r="737">
      <c r="A737" s="48"/>
      <c r="C737" s="79"/>
      <c r="D737" s="36"/>
      <c r="E737" s="36"/>
      <c r="F737" s="36"/>
      <c r="G737" s="48"/>
      <c r="H737" s="74"/>
    </row>
    <row r="738">
      <c r="A738" s="48"/>
      <c r="C738" s="79"/>
      <c r="D738" s="36"/>
      <c r="E738" s="36"/>
      <c r="F738" s="36"/>
      <c r="G738" s="48"/>
      <c r="H738" s="74"/>
    </row>
    <row r="739">
      <c r="A739" s="48"/>
      <c r="C739" s="79"/>
      <c r="D739" s="36"/>
      <c r="E739" s="36"/>
      <c r="F739" s="36"/>
      <c r="G739" s="48"/>
      <c r="H739" s="74"/>
    </row>
    <row r="740">
      <c r="A740" s="48"/>
      <c r="C740" s="79"/>
      <c r="D740" s="36"/>
      <c r="E740" s="36"/>
      <c r="F740" s="36"/>
      <c r="G740" s="48"/>
      <c r="H740" s="74"/>
    </row>
    <row r="741">
      <c r="A741" s="48"/>
      <c r="C741" s="79"/>
      <c r="D741" s="36"/>
      <c r="E741" s="36"/>
      <c r="F741" s="36"/>
      <c r="G741" s="48"/>
      <c r="H741" s="74"/>
    </row>
    <row r="742">
      <c r="A742" s="48"/>
      <c r="C742" s="79"/>
      <c r="D742" s="36"/>
      <c r="E742" s="36"/>
      <c r="F742" s="36"/>
      <c r="G742" s="48"/>
      <c r="H742" s="74"/>
    </row>
    <row r="743">
      <c r="A743" s="48"/>
      <c r="C743" s="79"/>
      <c r="D743" s="36"/>
      <c r="E743" s="36"/>
      <c r="F743" s="36"/>
      <c r="G743" s="48"/>
      <c r="H743" s="74"/>
    </row>
    <row r="744">
      <c r="A744" s="48"/>
      <c r="C744" s="79"/>
      <c r="D744" s="36"/>
      <c r="E744" s="36"/>
      <c r="F744" s="36"/>
      <c r="G744" s="48"/>
      <c r="H744" s="74"/>
    </row>
    <row r="745">
      <c r="A745" s="48"/>
      <c r="C745" s="79"/>
      <c r="D745" s="36"/>
      <c r="E745" s="36"/>
      <c r="F745" s="36"/>
      <c r="G745" s="48"/>
      <c r="H745" s="74"/>
    </row>
    <row r="746">
      <c r="A746" s="48"/>
      <c r="C746" s="79"/>
      <c r="D746" s="36"/>
      <c r="E746" s="36"/>
      <c r="F746" s="36"/>
      <c r="G746" s="48"/>
      <c r="H746" s="74"/>
    </row>
    <row r="747">
      <c r="A747" s="48"/>
      <c r="C747" s="79"/>
      <c r="D747" s="36"/>
      <c r="E747" s="36"/>
      <c r="F747" s="36"/>
      <c r="G747" s="48"/>
      <c r="H747" s="74"/>
    </row>
    <row r="748">
      <c r="A748" s="48"/>
      <c r="C748" s="79"/>
      <c r="D748" s="36"/>
      <c r="E748" s="36"/>
      <c r="F748" s="36"/>
      <c r="G748" s="48"/>
      <c r="H748" s="74"/>
    </row>
    <row r="749">
      <c r="A749" s="48"/>
      <c r="C749" s="79"/>
      <c r="D749" s="36"/>
      <c r="E749" s="36"/>
      <c r="F749" s="36"/>
      <c r="G749" s="48"/>
      <c r="H749" s="74"/>
    </row>
    <row r="750">
      <c r="A750" s="48"/>
      <c r="C750" s="79"/>
      <c r="D750" s="36"/>
      <c r="E750" s="36"/>
      <c r="F750" s="36"/>
      <c r="G750" s="48"/>
      <c r="H750" s="74"/>
    </row>
    <row r="751">
      <c r="A751" s="48"/>
      <c r="C751" s="79"/>
      <c r="D751" s="36"/>
      <c r="E751" s="36"/>
      <c r="F751" s="36"/>
      <c r="G751" s="48"/>
      <c r="H751" s="74"/>
    </row>
    <row r="752">
      <c r="A752" s="48"/>
      <c r="C752" s="79"/>
      <c r="D752" s="36"/>
      <c r="E752" s="36"/>
      <c r="F752" s="36"/>
      <c r="G752" s="48"/>
      <c r="H752" s="74"/>
    </row>
    <row r="753">
      <c r="A753" s="48"/>
      <c r="C753" s="79"/>
      <c r="D753" s="36"/>
      <c r="E753" s="36"/>
      <c r="F753" s="36"/>
      <c r="G753" s="48"/>
      <c r="H753" s="74"/>
    </row>
    <row r="754">
      <c r="A754" s="48"/>
      <c r="C754" s="79"/>
      <c r="D754" s="36"/>
      <c r="E754" s="36"/>
      <c r="F754" s="36"/>
      <c r="G754" s="48"/>
      <c r="H754" s="74"/>
    </row>
    <row r="755">
      <c r="A755" s="48"/>
      <c r="C755" s="79"/>
      <c r="D755" s="36"/>
      <c r="E755" s="36"/>
      <c r="F755" s="36"/>
      <c r="G755" s="48"/>
      <c r="H755" s="74"/>
    </row>
    <row r="756">
      <c r="A756" s="48"/>
      <c r="C756" s="79"/>
      <c r="D756" s="36"/>
      <c r="E756" s="36"/>
      <c r="F756" s="36"/>
      <c r="G756" s="48"/>
      <c r="H756" s="74"/>
    </row>
    <row r="757">
      <c r="A757" s="48"/>
      <c r="C757" s="79"/>
      <c r="D757" s="36"/>
      <c r="E757" s="36"/>
      <c r="F757" s="36"/>
      <c r="G757" s="48"/>
      <c r="H757" s="74"/>
    </row>
    <row r="758">
      <c r="A758" s="48"/>
      <c r="C758" s="79"/>
      <c r="D758" s="36"/>
      <c r="E758" s="36"/>
      <c r="F758" s="36"/>
      <c r="G758" s="48"/>
      <c r="H758" s="74"/>
    </row>
    <row r="759">
      <c r="A759" s="48"/>
      <c r="C759" s="79"/>
      <c r="D759" s="36"/>
      <c r="E759" s="36"/>
      <c r="F759" s="36"/>
      <c r="G759" s="48"/>
      <c r="H759" s="74"/>
    </row>
    <row r="760">
      <c r="A760" s="48"/>
      <c r="C760" s="79"/>
      <c r="D760" s="36"/>
      <c r="E760" s="36"/>
      <c r="F760" s="36"/>
      <c r="G760" s="48"/>
      <c r="H760" s="74"/>
    </row>
    <row r="761">
      <c r="A761" s="48"/>
      <c r="C761" s="79"/>
      <c r="D761" s="36"/>
      <c r="E761" s="36"/>
      <c r="F761" s="36"/>
      <c r="G761" s="48"/>
      <c r="H761" s="74"/>
    </row>
    <row r="762">
      <c r="A762" s="48"/>
      <c r="C762" s="79"/>
      <c r="D762" s="36"/>
      <c r="E762" s="36"/>
      <c r="F762" s="36"/>
      <c r="G762" s="48"/>
      <c r="H762" s="74"/>
    </row>
    <row r="763">
      <c r="A763" s="48"/>
      <c r="C763" s="79"/>
      <c r="D763" s="36"/>
      <c r="E763" s="36"/>
      <c r="F763" s="36"/>
      <c r="G763" s="48"/>
      <c r="H763" s="74"/>
    </row>
    <row r="764">
      <c r="A764" s="48"/>
      <c r="C764" s="79"/>
      <c r="D764" s="36"/>
      <c r="E764" s="36"/>
      <c r="F764" s="36"/>
      <c r="G764" s="48"/>
      <c r="H764" s="74"/>
    </row>
    <row r="765">
      <c r="A765" s="48"/>
      <c r="C765" s="79"/>
      <c r="D765" s="36"/>
      <c r="E765" s="36"/>
      <c r="F765" s="36"/>
      <c r="G765" s="48"/>
      <c r="H765" s="74"/>
    </row>
    <row r="766">
      <c r="A766" s="48"/>
      <c r="C766" s="79"/>
      <c r="D766" s="36"/>
      <c r="E766" s="36"/>
      <c r="F766" s="36"/>
      <c r="G766" s="48"/>
      <c r="H766" s="74"/>
    </row>
    <row r="767">
      <c r="A767" s="48"/>
      <c r="C767" s="79"/>
      <c r="D767" s="36"/>
      <c r="E767" s="36"/>
      <c r="F767" s="36"/>
      <c r="G767" s="48"/>
      <c r="H767" s="74"/>
    </row>
    <row r="768">
      <c r="A768" s="48"/>
      <c r="C768" s="79"/>
      <c r="D768" s="36"/>
      <c r="E768" s="36"/>
      <c r="F768" s="36"/>
      <c r="G768" s="48"/>
      <c r="H768" s="74"/>
    </row>
    <row r="769">
      <c r="A769" s="48"/>
      <c r="C769" s="79"/>
      <c r="D769" s="36"/>
      <c r="E769" s="36"/>
      <c r="F769" s="36"/>
      <c r="G769" s="48"/>
      <c r="H769" s="74"/>
    </row>
    <row r="770">
      <c r="A770" s="48"/>
      <c r="C770" s="79"/>
      <c r="D770" s="36"/>
      <c r="E770" s="36"/>
      <c r="F770" s="36"/>
      <c r="G770" s="48"/>
      <c r="H770" s="74"/>
    </row>
    <row r="771">
      <c r="A771" s="48"/>
      <c r="C771" s="79"/>
      <c r="D771" s="36"/>
      <c r="E771" s="36"/>
      <c r="F771" s="36"/>
      <c r="G771" s="48"/>
      <c r="H771" s="74"/>
    </row>
    <row r="772">
      <c r="A772" s="48"/>
      <c r="C772" s="79"/>
      <c r="D772" s="36"/>
      <c r="E772" s="36"/>
      <c r="F772" s="36"/>
      <c r="G772" s="48"/>
      <c r="H772" s="74"/>
    </row>
    <row r="773">
      <c r="A773" s="48"/>
      <c r="C773" s="79"/>
      <c r="D773" s="36"/>
      <c r="E773" s="36"/>
      <c r="F773" s="36"/>
      <c r="G773" s="48"/>
      <c r="H773" s="74"/>
    </row>
    <row r="774">
      <c r="A774" s="48"/>
      <c r="C774" s="79"/>
      <c r="D774" s="36"/>
      <c r="E774" s="36"/>
      <c r="F774" s="36"/>
      <c r="G774" s="48"/>
      <c r="H774" s="74"/>
    </row>
    <row r="775">
      <c r="A775" s="48"/>
      <c r="C775" s="79"/>
      <c r="D775" s="36"/>
      <c r="E775" s="36"/>
      <c r="F775" s="36"/>
      <c r="G775" s="48"/>
      <c r="H775" s="74"/>
    </row>
    <row r="776">
      <c r="A776" s="48"/>
      <c r="C776" s="79"/>
      <c r="D776" s="36"/>
      <c r="E776" s="36"/>
      <c r="F776" s="36"/>
      <c r="G776" s="48"/>
      <c r="H776" s="74"/>
    </row>
    <row r="777">
      <c r="A777" s="48"/>
      <c r="C777" s="79"/>
      <c r="D777" s="36"/>
      <c r="E777" s="36"/>
      <c r="F777" s="36"/>
      <c r="G777" s="48"/>
      <c r="H777" s="74"/>
    </row>
    <row r="778">
      <c r="A778" s="48"/>
      <c r="C778" s="79"/>
      <c r="D778" s="36"/>
      <c r="E778" s="36"/>
      <c r="F778" s="36"/>
      <c r="G778" s="48"/>
      <c r="H778" s="74"/>
    </row>
    <row r="779">
      <c r="A779" s="48"/>
      <c r="C779" s="79"/>
      <c r="D779" s="36"/>
      <c r="E779" s="36"/>
      <c r="F779" s="36"/>
      <c r="G779" s="48"/>
      <c r="H779" s="74"/>
    </row>
    <row r="780">
      <c r="A780" s="48"/>
      <c r="C780" s="79"/>
      <c r="D780" s="36"/>
      <c r="E780" s="36"/>
      <c r="F780" s="36"/>
      <c r="G780" s="48"/>
      <c r="H780" s="74"/>
    </row>
    <row r="781">
      <c r="A781" s="48"/>
      <c r="C781" s="79"/>
      <c r="D781" s="36"/>
      <c r="E781" s="36"/>
      <c r="F781" s="36"/>
      <c r="G781" s="48"/>
      <c r="H781" s="74"/>
    </row>
    <row r="782">
      <c r="A782" s="48"/>
      <c r="C782" s="79"/>
      <c r="D782" s="36"/>
      <c r="E782" s="36"/>
      <c r="F782" s="36"/>
      <c r="G782" s="48"/>
      <c r="H782" s="74"/>
    </row>
    <row r="783">
      <c r="A783" s="48"/>
      <c r="C783" s="79"/>
      <c r="D783" s="36"/>
      <c r="E783" s="36"/>
      <c r="F783" s="36"/>
      <c r="G783" s="48"/>
      <c r="H783" s="74"/>
    </row>
    <row r="784">
      <c r="A784" s="48"/>
      <c r="C784" s="79"/>
      <c r="D784" s="36"/>
      <c r="E784" s="36"/>
      <c r="F784" s="36"/>
      <c r="G784" s="48"/>
      <c r="H784" s="74"/>
    </row>
    <row r="785">
      <c r="A785" s="48"/>
      <c r="C785" s="79"/>
      <c r="D785" s="36"/>
      <c r="E785" s="36"/>
      <c r="F785" s="36"/>
      <c r="G785" s="48"/>
      <c r="H785" s="74"/>
    </row>
    <row r="786">
      <c r="A786" s="48"/>
      <c r="C786" s="79"/>
      <c r="D786" s="36"/>
      <c r="E786" s="36"/>
      <c r="F786" s="36"/>
      <c r="G786" s="48"/>
      <c r="H786" s="74"/>
    </row>
    <row r="787">
      <c r="A787" s="48"/>
      <c r="C787" s="79"/>
      <c r="D787" s="36"/>
      <c r="E787" s="36"/>
      <c r="F787" s="36"/>
      <c r="G787" s="48"/>
      <c r="H787" s="74"/>
    </row>
    <row r="788">
      <c r="A788" s="48"/>
      <c r="C788" s="79"/>
      <c r="D788" s="36"/>
      <c r="E788" s="36"/>
      <c r="F788" s="36"/>
      <c r="G788" s="48"/>
      <c r="H788" s="74"/>
    </row>
    <row r="789">
      <c r="A789" s="48"/>
      <c r="C789" s="79"/>
      <c r="D789" s="36"/>
      <c r="E789" s="36"/>
      <c r="F789" s="36"/>
      <c r="G789" s="48"/>
      <c r="H789" s="74"/>
    </row>
    <row r="790">
      <c r="A790" s="48"/>
      <c r="C790" s="79"/>
      <c r="D790" s="36"/>
      <c r="E790" s="36"/>
      <c r="F790" s="36"/>
      <c r="G790" s="48"/>
      <c r="H790" s="74"/>
    </row>
    <row r="791">
      <c r="A791" s="48"/>
      <c r="C791" s="79"/>
      <c r="D791" s="36"/>
      <c r="E791" s="36"/>
      <c r="F791" s="36"/>
      <c r="G791" s="48"/>
      <c r="H791" s="74"/>
    </row>
    <row r="792">
      <c r="A792" s="48"/>
      <c r="C792" s="79"/>
      <c r="D792" s="36"/>
      <c r="E792" s="36"/>
      <c r="F792" s="36"/>
      <c r="G792" s="48"/>
      <c r="H792" s="74"/>
    </row>
    <row r="793">
      <c r="A793" s="48"/>
      <c r="C793" s="79"/>
      <c r="D793" s="36"/>
      <c r="E793" s="36"/>
      <c r="F793" s="36"/>
      <c r="G793" s="48"/>
      <c r="H793" s="74"/>
    </row>
    <row r="794">
      <c r="A794" s="48"/>
      <c r="C794" s="79"/>
      <c r="D794" s="36"/>
      <c r="E794" s="36"/>
      <c r="F794" s="36"/>
      <c r="G794" s="48"/>
      <c r="H794" s="74"/>
    </row>
    <row r="795">
      <c r="A795" s="48"/>
      <c r="C795" s="79"/>
      <c r="D795" s="36"/>
      <c r="E795" s="36"/>
      <c r="F795" s="36"/>
      <c r="G795" s="48"/>
      <c r="H795" s="74"/>
    </row>
    <row r="796">
      <c r="A796" s="48"/>
      <c r="C796" s="79"/>
      <c r="D796" s="36"/>
      <c r="E796" s="36"/>
      <c r="F796" s="36"/>
      <c r="G796" s="48"/>
      <c r="H796" s="74"/>
    </row>
    <row r="797">
      <c r="A797" s="48"/>
      <c r="C797" s="79"/>
      <c r="D797" s="36"/>
      <c r="E797" s="36"/>
      <c r="F797" s="36"/>
      <c r="G797" s="48"/>
      <c r="H797" s="74"/>
    </row>
    <row r="798">
      <c r="A798" s="48"/>
      <c r="C798" s="79"/>
      <c r="D798" s="36"/>
      <c r="E798" s="36"/>
      <c r="F798" s="36"/>
      <c r="G798" s="48"/>
      <c r="H798" s="74"/>
    </row>
    <row r="799">
      <c r="A799" s="48"/>
      <c r="C799" s="79"/>
      <c r="D799" s="36"/>
      <c r="E799" s="36"/>
      <c r="F799" s="36"/>
      <c r="G799" s="48"/>
      <c r="H799" s="74"/>
    </row>
    <row r="800">
      <c r="A800" s="48"/>
      <c r="C800" s="79"/>
      <c r="D800" s="36"/>
      <c r="E800" s="36"/>
      <c r="F800" s="36"/>
      <c r="G800" s="48"/>
      <c r="H800" s="74"/>
    </row>
    <row r="801">
      <c r="A801" s="48"/>
      <c r="C801" s="79"/>
      <c r="D801" s="36"/>
      <c r="E801" s="36"/>
      <c r="F801" s="36"/>
      <c r="G801" s="48"/>
      <c r="H801" s="74"/>
    </row>
    <row r="802">
      <c r="A802" s="48"/>
      <c r="C802" s="79"/>
      <c r="D802" s="36"/>
      <c r="E802" s="36"/>
      <c r="F802" s="36"/>
      <c r="G802" s="48"/>
      <c r="H802" s="74"/>
    </row>
    <row r="803">
      <c r="A803" s="48"/>
      <c r="C803" s="79"/>
      <c r="D803" s="36"/>
      <c r="E803" s="36"/>
      <c r="F803" s="36"/>
      <c r="G803" s="48"/>
      <c r="H803" s="74"/>
    </row>
    <row r="804">
      <c r="A804" s="48"/>
      <c r="C804" s="79"/>
      <c r="D804" s="36"/>
      <c r="E804" s="36"/>
      <c r="F804" s="36"/>
      <c r="G804" s="48"/>
      <c r="H804" s="74"/>
    </row>
    <row r="805">
      <c r="A805" s="48"/>
      <c r="C805" s="79"/>
      <c r="D805" s="36"/>
      <c r="E805" s="36"/>
      <c r="F805" s="36"/>
      <c r="G805" s="48"/>
      <c r="H805" s="74"/>
    </row>
    <row r="806">
      <c r="A806" s="48"/>
      <c r="C806" s="79"/>
      <c r="D806" s="36"/>
      <c r="E806" s="36"/>
      <c r="F806" s="36"/>
      <c r="G806" s="48"/>
      <c r="H806" s="74"/>
    </row>
    <row r="807">
      <c r="A807" s="48"/>
      <c r="C807" s="79"/>
      <c r="D807" s="36"/>
      <c r="E807" s="36"/>
      <c r="F807" s="36"/>
      <c r="G807" s="48"/>
      <c r="H807" s="74"/>
    </row>
    <row r="808">
      <c r="A808" s="48"/>
      <c r="C808" s="79"/>
      <c r="D808" s="36"/>
      <c r="E808" s="36"/>
      <c r="F808" s="36"/>
      <c r="G808" s="48"/>
      <c r="H808" s="74"/>
    </row>
    <row r="809">
      <c r="A809" s="48"/>
      <c r="C809" s="79"/>
      <c r="D809" s="36"/>
      <c r="E809" s="36"/>
      <c r="F809" s="36"/>
      <c r="G809" s="48"/>
      <c r="H809" s="74"/>
    </row>
    <row r="810">
      <c r="A810" s="48"/>
      <c r="C810" s="79"/>
      <c r="D810" s="36"/>
      <c r="E810" s="36"/>
      <c r="F810" s="36"/>
      <c r="G810" s="48"/>
      <c r="H810" s="74"/>
    </row>
    <row r="811">
      <c r="A811" s="48"/>
      <c r="C811" s="79"/>
      <c r="D811" s="36"/>
      <c r="E811" s="36"/>
      <c r="F811" s="36"/>
      <c r="G811" s="48"/>
      <c r="H811" s="74"/>
    </row>
    <row r="812">
      <c r="A812" s="48"/>
      <c r="C812" s="79"/>
      <c r="D812" s="36"/>
      <c r="E812" s="36"/>
      <c r="F812" s="36"/>
      <c r="G812" s="48"/>
      <c r="H812" s="74"/>
    </row>
    <row r="813">
      <c r="A813" s="48"/>
      <c r="C813" s="79"/>
      <c r="D813" s="36"/>
      <c r="E813" s="36"/>
      <c r="F813" s="36"/>
      <c r="G813" s="48"/>
      <c r="H813" s="74"/>
    </row>
    <row r="814">
      <c r="A814" s="48"/>
      <c r="C814" s="79"/>
      <c r="D814" s="36"/>
      <c r="E814" s="36"/>
      <c r="F814" s="36"/>
      <c r="G814" s="48"/>
      <c r="H814" s="74"/>
    </row>
    <row r="815">
      <c r="A815" s="48"/>
      <c r="C815" s="79"/>
      <c r="D815" s="36"/>
      <c r="E815" s="36"/>
      <c r="F815" s="36"/>
      <c r="G815" s="48"/>
      <c r="H815" s="74"/>
    </row>
    <row r="816">
      <c r="A816" s="48"/>
      <c r="C816" s="79"/>
      <c r="D816" s="36"/>
      <c r="E816" s="36"/>
      <c r="F816" s="36"/>
      <c r="G816" s="48"/>
      <c r="H816" s="74"/>
    </row>
    <row r="817">
      <c r="A817" s="48"/>
      <c r="C817" s="79"/>
      <c r="D817" s="36"/>
      <c r="E817" s="36"/>
      <c r="F817" s="36"/>
      <c r="G817" s="48"/>
      <c r="H817" s="74"/>
    </row>
    <row r="818">
      <c r="A818" s="48"/>
      <c r="C818" s="79"/>
      <c r="D818" s="36"/>
      <c r="E818" s="36"/>
      <c r="F818" s="36"/>
      <c r="G818" s="48"/>
      <c r="H818" s="74"/>
    </row>
    <row r="819">
      <c r="A819" s="48"/>
      <c r="C819" s="79"/>
      <c r="D819" s="36"/>
      <c r="E819" s="36"/>
      <c r="F819" s="36"/>
      <c r="G819" s="48"/>
      <c r="H819" s="74"/>
    </row>
    <row r="820">
      <c r="A820" s="48"/>
      <c r="C820" s="79"/>
      <c r="D820" s="36"/>
      <c r="E820" s="36"/>
      <c r="F820" s="36"/>
      <c r="G820" s="48"/>
      <c r="H820" s="74"/>
    </row>
    <row r="821">
      <c r="A821" s="48"/>
      <c r="C821" s="79"/>
      <c r="D821" s="36"/>
      <c r="E821" s="36"/>
      <c r="F821" s="36"/>
      <c r="G821" s="48"/>
      <c r="H821" s="74"/>
    </row>
    <row r="822">
      <c r="A822" s="48"/>
      <c r="C822" s="79"/>
      <c r="D822" s="36"/>
      <c r="E822" s="36"/>
      <c r="F822" s="36"/>
      <c r="G822" s="48"/>
      <c r="H822" s="74"/>
    </row>
    <row r="823">
      <c r="A823" s="48"/>
      <c r="C823" s="79"/>
      <c r="D823" s="36"/>
      <c r="E823" s="36"/>
      <c r="F823" s="36"/>
      <c r="G823" s="48"/>
      <c r="H823" s="74"/>
    </row>
    <row r="824">
      <c r="A824" s="48"/>
      <c r="C824" s="79"/>
      <c r="D824" s="36"/>
      <c r="E824" s="36"/>
      <c r="F824" s="36"/>
      <c r="G824" s="48"/>
      <c r="H824" s="74"/>
    </row>
    <row r="825">
      <c r="A825" s="48"/>
      <c r="C825" s="79"/>
      <c r="D825" s="36"/>
      <c r="E825" s="36"/>
      <c r="F825" s="36"/>
      <c r="G825" s="48"/>
      <c r="H825" s="74"/>
    </row>
    <row r="826">
      <c r="A826" s="48"/>
      <c r="C826" s="79"/>
      <c r="D826" s="36"/>
      <c r="E826" s="36"/>
      <c r="F826" s="36"/>
      <c r="G826" s="48"/>
      <c r="H826" s="74"/>
    </row>
    <row r="827">
      <c r="A827" s="48"/>
      <c r="C827" s="79"/>
      <c r="D827" s="36"/>
      <c r="E827" s="36"/>
      <c r="F827" s="36"/>
      <c r="G827" s="48"/>
      <c r="H827" s="74"/>
    </row>
    <row r="828">
      <c r="A828" s="48"/>
      <c r="C828" s="79"/>
      <c r="D828" s="36"/>
      <c r="E828" s="36"/>
      <c r="F828" s="36"/>
      <c r="G828" s="48"/>
      <c r="H828" s="74"/>
    </row>
    <row r="829">
      <c r="A829" s="48"/>
      <c r="C829" s="79"/>
      <c r="D829" s="36"/>
      <c r="E829" s="36"/>
      <c r="F829" s="36"/>
      <c r="G829" s="48"/>
      <c r="H829" s="74"/>
    </row>
    <row r="830">
      <c r="A830" s="48"/>
      <c r="C830" s="79"/>
      <c r="D830" s="36"/>
      <c r="E830" s="36"/>
      <c r="F830" s="36"/>
      <c r="G830" s="48"/>
      <c r="H830" s="74"/>
    </row>
    <row r="831">
      <c r="A831" s="48"/>
      <c r="C831" s="79"/>
      <c r="D831" s="36"/>
      <c r="E831" s="36"/>
      <c r="F831" s="36"/>
      <c r="G831" s="48"/>
      <c r="H831" s="74"/>
    </row>
    <row r="832">
      <c r="A832" s="48"/>
      <c r="C832" s="79"/>
      <c r="D832" s="36"/>
      <c r="E832" s="36"/>
      <c r="F832" s="36"/>
      <c r="G832" s="48"/>
      <c r="H832" s="74"/>
    </row>
    <row r="833">
      <c r="A833" s="48"/>
      <c r="C833" s="79"/>
      <c r="D833" s="36"/>
      <c r="E833" s="36"/>
      <c r="F833" s="36"/>
      <c r="G833" s="48"/>
      <c r="H833" s="74"/>
    </row>
    <row r="834">
      <c r="A834" s="48"/>
      <c r="C834" s="79"/>
      <c r="D834" s="36"/>
      <c r="E834" s="36"/>
      <c r="F834" s="36"/>
      <c r="G834" s="48"/>
      <c r="H834" s="74"/>
    </row>
    <row r="835">
      <c r="A835" s="48"/>
      <c r="C835" s="79"/>
      <c r="D835" s="36"/>
      <c r="E835" s="36"/>
      <c r="F835" s="36"/>
      <c r="G835" s="48"/>
      <c r="H835" s="74"/>
    </row>
    <row r="836">
      <c r="A836" s="48"/>
      <c r="C836" s="79"/>
      <c r="D836" s="36"/>
      <c r="E836" s="36"/>
      <c r="F836" s="36"/>
      <c r="G836" s="48"/>
      <c r="H836" s="74"/>
    </row>
    <row r="837">
      <c r="A837" s="48"/>
      <c r="C837" s="79"/>
      <c r="D837" s="36"/>
      <c r="E837" s="36"/>
      <c r="F837" s="36"/>
      <c r="G837" s="48"/>
      <c r="H837" s="74"/>
    </row>
    <row r="838">
      <c r="A838" s="48"/>
      <c r="C838" s="79"/>
      <c r="D838" s="36"/>
      <c r="E838" s="36"/>
      <c r="F838" s="36"/>
      <c r="G838" s="48"/>
      <c r="H838" s="74"/>
    </row>
    <row r="839">
      <c r="A839" s="48"/>
      <c r="C839" s="79"/>
      <c r="D839" s="36"/>
      <c r="E839" s="36"/>
      <c r="F839" s="36"/>
      <c r="G839" s="48"/>
      <c r="H839" s="74"/>
    </row>
    <row r="840">
      <c r="A840" s="48"/>
      <c r="C840" s="79"/>
      <c r="D840" s="36"/>
      <c r="E840" s="36"/>
      <c r="F840" s="36"/>
      <c r="G840" s="48"/>
      <c r="H840" s="74"/>
    </row>
    <row r="841">
      <c r="A841" s="48"/>
      <c r="C841" s="79"/>
      <c r="D841" s="36"/>
      <c r="E841" s="36"/>
      <c r="F841" s="36"/>
      <c r="G841" s="48"/>
      <c r="H841" s="74"/>
    </row>
    <row r="842">
      <c r="A842" s="48"/>
      <c r="C842" s="79"/>
      <c r="D842" s="36"/>
      <c r="E842" s="36"/>
      <c r="F842" s="36"/>
      <c r="G842" s="48"/>
      <c r="H842" s="74"/>
    </row>
    <row r="843">
      <c r="A843" s="48"/>
      <c r="C843" s="79"/>
      <c r="D843" s="36"/>
      <c r="E843" s="36"/>
      <c r="F843" s="36"/>
      <c r="G843" s="48"/>
      <c r="H843" s="74"/>
    </row>
    <row r="844">
      <c r="A844" s="48"/>
      <c r="C844" s="79"/>
      <c r="D844" s="36"/>
      <c r="E844" s="36"/>
      <c r="F844" s="36"/>
      <c r="G844" s="48"/>
      <c r="H844" s="74"/>
    </row>
    <row r="845">
      <c r="A845" s="48"/>
      <c r="C845" s="79"/>
      <c r="D845" s="36"/>
      <c r="E845" s="36"/>
      <c r="F845" s="36"/>
      <c r="G845" s="48"/>
      <c r="H845" s="74"/>
    </row>
    <row r="846">
      <c r="A846" s="48"/>
      <c r="C846" s="79"/>
      <c r="D846" s="36"/>
      <c r="E846" s="36"/>
      <c r="F846" s="36"/>
      <c r="G846" s="48"/>
      <c r="H846" s="74"/>
    </row>
    <row r="847">
      <c r="A847" s="48"/>
      <c r="C847" s="79"/>
      <c r="D847" s="36"/>
      <c r="E847" s="36"/>
      <c r="F847" s="36"/>
      <c r="G847" s="48"/>
      <c r="H847" s="74"/>
    </row>
    <row r="848">
      <c r="A848" s="48"/>
      <c r="C848" s="79"/>
      <c r="D848" s="36"/>
      <c r="E848" s="36"/>
      <c r="F848" s="36"/>
      <c r="G848" s="48"/>
      <c r="H848" s="74"/>
    </row>
    <row r="849">
      <c r="A849" s="48"/>
      <c r="C849" s="79"/>
      <c r="D849" s="36"/>
      <c r="E849" s="36"/>
      <c r="F849" s="36"/>
      <c r="G849" s="48"/>
      <c r="H849" s="74"/>
    </row>
    <row r="850">
      <c r="A850" s="48"/>
      <c r="C850" s="79"/>
      <c r="D850" s="36"/>
      <c r="E850" s="36"/>
      <c r="F850" s="36"/>
      <c r="G850" s="48"/>
      <c r="H850" s="74"/>
    </row>
    <row r="851">
      <c r="A851" s="48"/>
      <c r="C851" s="79"/>
      <c r="D851" s="36"/>
      <c r="E851" s="36"/>
      <c r="F851" s="36"/>
      <c r="G851" s="48"/>
      <c r="H851" s="74"/>
    </row>
    <row r="852">
      <c r="A852" s="48"/>
      <c r="C852" s="79"/>
      <c r="D852" s="36"/>
      <c r="E852" s="36"/>
      <c r="F852" s="36"/>
      <c r="G852" s="48"/>
      <c r="H852" s="74"/>
    </row>
    <row r="853">
      <c r="A853" s="48"/>
      <c r="C853" s="79"/>
      <c r="D853" s="36"/>
      <c r="E853" s="36"/>
      <c r="F853" s="36"/>
      <c r="G853" s="48"/>
      <c r="H853" s="74"/>
    </row>
    <row r="854">
      <c r="A854" s="48"/>
      <c r="C854" s="79"/>
      <c r="D854" s="36"/>
      <c r="E854" s="36"/>
      <c r="F854" s="36"/>
      <c r="G854" s="48"/>
      <c r="H854" s="74"/>
    </row>
    <row r="855">
      <c r="A855" s="48"/>
      <c r="C855" s="79"/>
      <c r="D855" s="36"/>
      <c r="E855" s="36"/>
      <c r="F855" s="36"/>
      <c r="G855" s="48"/>
      <c r="H855" s="74"/>
    </row>
    <row r="856">
      <c r="A856" s="48"/>
      <c r="C856" s="79"/>
      <c r="D856" s="36"/>
      <c r="E856" s="36"/>
      <c r="F856" s="36"/>
      <c r="G856" s="48"/>
      <c r="H856" s="74"/>
    </row>
    <row r="857">
      <c r="A857" s="48"/>
      <c r="C857" s="79"/>
      <c r="D857" s="36"/>
      <c r="E857" s="36"/>
      <c r="F857" s="36"/>
      <c r="G857" s="48"/>
      <c r="H857" s="74"/>
    </row>
    <row r="858">
      <c r="A858" s="48"/>
      <c r="C858" s="79"/>
      <c r="D858" s="36"/>
      <c r="E858" s="36"/>
      <c r="F858" s="36"/>
      <c r="G858" s="48"/>
      <c r="H858" s="74"/>
    </row>
    <row r="859">
      <c r="A859" s="48"/>
      <c r="C859" s="79"/>
      <c r="D859" s="36"/>
      <c r="E859" s="36"/>
      <c r="F859" s="36"/>
      <c r="G859" s="48"/>
      <c r="H859" s="74"/>
    </row>
    <row r="860">
      <c r="A860" s="48"/>
      <c r="C860" s="79"/>
      <c r="D860" s="36"/>
      <c r="E860" s="36"/>
      <c r="F860" s="36"/>
      <c r="G860" s="48"/>
      <c r="H860" s="74"/>
    </row>
    <row r="861">
      <c r="A861" s="48"/>
      <c r="C861" s="79"/>
      <c r="D861" s="36"/>
      <c r="E861" s="36"/>
      <c r="F861" s="36"/>
      <c r="G861" s="48"/>
      <c r="H861" s="74"/>
    </row>
    <row r="862">
      <c r="A862" s="48"/>
      <c r="C862" s="79"/>
      <c r="D862" s="36"/>
      <c r="E862" s="36"/>
      <c r="F862" s="36"/>
      <c r="G862" s="48"/>
      <c r="H862" s="74"/>
    </row>
    <row r="863">
      <c r="A863" s="48"/>
      <c r="C863" s="79"/>
      <c r="D863" s="36"/>
      <c r="E863" s="36"/>
      <c r="F863" s="36"/>
      <c r="G863" s="48"/>
      <c r="H863" s="74"/>
    </row>
    <row r="864">
      <c r="A864" s="48"/>
      <c r="C864" s="79"/>
      <c r="D864" s="36"/>
      <c r="E864" s="36"/>
      <c r="F864" s="36"/>
      <c r="G864" s="48"/>
      <c r="H864" s="74"/>
    </row>
    <row r="865">
      <c r="A865" s="48"/>
      <c r="C865" s="79"/>
      <c r="D865" s="36"/>
      <c r="E865" s="36"/>
      <c r="F865" s="36"/>
      <c r="G865" s="48"/>
      <c r="H865" s="74"/>
    </row>
    <row r="866">
      <c r="A866" s="48"/>
      <c r="C866" s="79"/>
      <c r="D866" s="36"/>
      <c r="E866" s="36"/>
      <c r="F866" s="36"/>
      <c r="G866" s="48"/>
      <c r="H866" s="74"/>
    </row>
    <row r="867">
      <c r="A867" s="48"/>
      <c r="C867" s="79"/>
      <c r="D867" s="36"/>
      <c r="E867" s="36"/>
      <c r="F867" s="36"/>
      <c r="G867" s="48"/>
      <c r="H867" s="74"/>
    </row>
    <row r="868">
      <c r="A868" s="48"/>
      <c r="C868" s="79"/>
      <c r="D868" s="36"/>
      <c r="E868" s="36"/>
      <c r="F868" s="36"/>
      <c r="G868" s="48"/>
      <c r="H868" s="74"/>
    </row>
    <row r="869">
      <c r="A869" s="48"/>
      <c r="C869" s="79"/>
      <c r="D869" s="36"/>
      <c r="E869" s="36"/>
      <c r="F869" s="36"/>
      <c r="G869" s="48"/>
      <c r="H869" s="74"/>
    </row>
    <row r="870">
      <c r="A870" s="48"/>
      <c r="C870" s="79"/>
      <c r="D870" s="36"/>
      <c r="E870" s="36"/>
      <c r="F870" s="36"/>
      <c r="G870" s="48"/>
      <c r="H870" s="74"/>
    </row>
    <row r="871">
      <c r="A871" s="48"/>
      <c r="C871" s="79"/>
      <c r="D871" s="36"/>
      <c r="E871" s="36"/>
      <c r="F871" s="36"/>
      <c r="G871" s="48"/>
      <c r="H871" s="74"/>
    </row>
    <row r="872">
      <c r="A872" s="48"/>
      <c r="C872" s="79"/>
      <c r="D872" s="36"/>
      <c r="E872" s="36"/>
      <c r="F872" s="36"/>
      <c r="G872" s="48"/>
      <c r="H872" s="74"/>
    </row>
    <row r="873">
      <c r="A873" s="48"/>
      <c r="C873" s="79"/>
      <c r="D873" s="36"/>
      <c r="E873" s="36"/>
      <c r="F873" s="36"/>
      <c r="G873" s="48"/>
      <c r="H873" s="74"/>
    </row>
    <row r="874">
      <c r="A874" s="48"/>
      <c r="C874" s="79"/>
      <c r="D874" s="36"/>
      <c r="E874" s="36"/>
      <c r="F874" s="36"/>
      <c r="G874" s="48"/>
      <c r="H874" s="74"/>
    </row>
    <row r="875">
      <c r="A875" s="48"/>
      <c r="C875" s="79"/>
      <c r="D875" s="36"/>
      <c r="E875" s="36"/>
      <c r="F875" s="36"/>
      <c r="G875" s="48"/>
      <c r="H875" s="74"/>
    </row>
    <row r="876">
      <c r="A876" s="48"/>
      <c r="C876" s="79"/>
      <c r="D876" s="36"/>
      <c r="E876" s="36"/>
      <c r="F876" s="36"/>
      <c r="G876" s="48"/>
      <c r="H876" s="74"/>
    </row>
    <row r="877">
      <c r="A877" s="48"/>
      <c r="C877" s="79"/>
      <c r="D877" s="36"/>
      <c r="E877" s="36"/>
      <c r="F877" s="36"/>
      <c r="G877" s="48"/>
      <c r="H877" s="74"/>
    </row>
    <row r="878">
      <c r="A878" s="48"/>
      <c r="C878" s="79"/>
      <c r="D878" s="36"/>
      <c r="E878" s="36"/>
      <c r="F878" s="36"/>
      <c r="G878" s="48"/>
      <c r="H878" s="74"/>
    </row>
    <row r="879">
      <c r="A879" s="48"/>
      <c r="C879" s="79"/>
      <c r="D879" s="36"/>
      <c r="E879" s="36"/>
      <c r="F879" s="36"/>
      <c r="G879" s="48"/>
      <c r="H879" s="74"/>
    </row>
    <row r="880">
      <c r="A880" s="48"/>
      <c r="C880" s="79"/>
      <c r="D880" s="36"/>
      <c r="E880" s="36"/>
      <c r="F880" s="36"/>
      <c r="G880" s="48"/>
      <c r="H880" s="74"/>
    </row>
    <row r="881">
      <c r="A881" s="48"/>
      <c r="C881" s="79"/>
      <c r="D881" s="36"/>
      <c r="E881" s="36"/>
      <c r="F881" s="36"/>
      <c r="G881" s="48"/>
      <c r="H881" s="74"/>
    </row>
    <row r="882">
      <c r="A882" s="48"/>
      <c r="C882" s="79"/>
      <c r="D882" s="36"/>
      <c r="E882" s="36"/>
      <c r="F882" s="36"/>
      <c r="G882" s="48"/>
      <c r="H882" s="74"/>
    </row>
    <row r="883">
      <c r="A883" s="48"/>
      <c r="C883" s="79"/>
      <c r="D883" s="36"/>
      <c r="E883" s="36"/>
      <c r="F883" s="36"/>
      <c r="G883" s="48"/>
      <c r="H883" s="74"/>
    </row>
    <row r="884">
      <c r="A884" s="48"/>
      <c r="C884" s="79"/>
      <c r="D884" s="36"/>
      <c r="E884" s="36"/>
      <c r="F884" s="36"/>
      <c r="G884" s="48"/>
      <c r="H884" s="74"/>
    </row>
    <row r="885">
      <c r="A885" s="48"/>
      <c r="C885" s="79"/>
      <c r="D885" s="36"/>
      <c r="E885" s="36"/>
      <c r="F885" s="36"/>
      <c r="G885" s="48"/>
      <c r="H885" s="74"/>
    </row>
    <row r="886">
      <c r="A886" s="48"/>
      <c r="C886" s="79"/>
      <c r="D886" s="36"/>
      <c r="E886" s="36"/>
      <c r="F886" s="36"/>
      <c r="G886" s="48"/>
      <c r="H886" s="74"/>
    </row>
    <row r="887">
      <c r="A887" s="48"/>
      <c r="C887" s="79"/>
      <c r="D887" s="36"/>
      <c r="E887" s="36"/>
      <c r="F887" s="36"/>
      <c r="G887" s="48"/>
      <c r="H887" s="74"/>
    </row>
    <row r="888">
      <c r="A888" s="48"/>
      <c r="C888" s="79"/>
      <c r="D888" s="36"/>
      <c r="E888" s="36"/>
      <c r="F888" s="36"/>
      <c r="G888" s="48"/>
      <c r="H888" s="74"/>
    </row>
    <row r="889">
      <c r="A889" s="48"/>
      <c r="C889" s="79"/>
      <c r="D889" s="36"/>
      <c r="E889" s="36"/>
      <c r="F889" s="36"/>
      <c r="G889" s="48"/>
      <c r="H889" s="74"/>
    </row>
    <row r="890">
      <c r="A890" s="48"/>
      <c r="C890" s="79"/>
      <c r="D890" s="36"/>
      <c r="E890" s="36"/>
      <c r="F890" s="36"/>
      <c r="G890" s="48"/>
      <c r="H890" s="74"/>
    </row>
    <row r="891">
      <c r="A891" s="48"/>
      <c r="C891" s="79"/>
      <c r="D891" s="36"/>
      <c r="E891" s="36"/>
      <c r="F891" s="36"/>
      <c r="G891" s="48"/>
      <c r="H891" s="74"/>
    </row>
    <row r="892">
      <c r="A892" s="48"/>
      <c r="C892" s="79"/>
      <c r="D892" s="36"/>
      <c r="E892" s="36"/>
      <c r="F892" s="36"/>
      <c r="G892" s="48"/>
      <c r="H892" s="74"/>
    </row>
    <row r="893">
      <c r="A893" s="48"/>
      <c r="C893" s="79"/>
      <c r="D893" s="36"/>
      <c r="E893" s="36"/>
      <c r="F893" s="36"/>
      <c r="G893" s="48"/>
      <c r="H893" s="74"/>
    </row>
    <row r="894">
      <c r="A894" s="48"/>
      <c r="C894" s="79"/>
      <c r="D894" s="36"/>
      <c r="E894" s="36"/>
      <c r="F894" s="36"/>
      <c r="G894" s="48"/>
      <c r="H894" s="74"/>
    </row>
    <row r="895">
      <c r="A895" s="48"/>
      <c r="C895" s="79"/>
      <c r="D895" s="36"/>
      <c r="E895" s="36"/>
      <c r="F895" s="36"/>
      <c r="G895" s="48"/>
      <c r="H895" s="74"/>
    </row>
    <row r="896">
      <c r="A896" s="48"/>
      <c r="C896" s="79"/>
      <c r="D896" s="36"/>
      <c r="E896" s="36"/>
      <c r="F896" s="36"/>
      <c r="G896" s="48"/>
      <c r="H896" s="74"/>
    </row>
    <row r="897">
      <c r="A897" s="48"/>
      <c r="C897" s="79"/>
      <c r="D897" s="36"/>
      <c r="E897" s="36"/>
      <c r="F897" s="36"/>
      <c r="G897" s="48"/>
      <c r="H897" s="74"/>
    </row>
    <row r="898">
      <c r="A898" s="48"/>
      <c r="C898" s="79"/>
      <c r="D898" s="36"/>
      <c r="E898" s="36"/>
      <c r="F898" s="36"/>
      <c r="G898" s="48"/>
      <c r="H898" s="74"/>
    </row>
    <row r="899">
      <c r="A899" s="48"/>
      <c r="C899" s="79"/>
      <c r="D899" s="36"/>
      <c r="E899" s="36"/>
      <c r="F899" s="36"/>
      <c r="G899" s="48"/>
      <c r="H899" s="74"/>
    </row>
    <row r="900">
      <c r="A900" s="48"/>
      <c r="C900" s="79"/>
      <c r="D900" s="36"/>
      <c r="E900" s="36"/>
      <c r="F900" s="36"/>
      <c r="G900" s="48"/>
      <c r="H900" s="74"/>
    </row>
    <row r="901">
      <c r="A901" s="48"/>
      <c r="C901" s="79"/>
      <c r="D901" s="36"/>
      <c r="E901" s="36"/>
      <c r="F901" s="36"/>
      <c r="G901" s="48"/>
      <c r="H901" s="74"/>
    </row>
    <row r="902">
      <c r="A902" s="48"/>
      <c r="C902" s="79"/>
      <c r="D902" s="36"/>
      <c r="E902" s="36"/>
      <c r="F902" s="36"/>
      <c r="G902" s="48"/>
      <c r="H902" s="74"/>
    </row>
    <row r="903">
      <c r="A903" s="48"/>
      <c r="C903" s="79"/>
      <c r="D903" s="36"/>
      <c r="E903" s="36"/>
      <c r="F903" s="36"/>
      <c r="G903" s="48"/>
      <c r="H903" s="74"/>
    </row>
    <row r="904">
      <c r="A904" s="48"/>
      <c r="C904" s="79"/>
      <c r="D904" s="36"/>
      <c r="E904" s="36"/>
      <c r="F904" s="36"/>
      <c r="G904" s="48"/>
      <c r="H904" s="74"/>
    </row>
    <row r="905">
      <c r="A905" s="48"/>
      <c r="C905" s="79"/>
      <c r="D905" s="36"/>
      <c r="E905" s="36"/>
      <c r="F905" s="36"/>
      <c r="G905" s="48"/>
      <c r="H905" s="74"/>
    </row>
    <row r="906">
      <c r="A906" s="48"/>
      <c r="C906" s="79"/>
      <c r="D906" s="36"/>
      <c r="E906" s="36"/>
      <c r="F906" s="36"/>
      <c r="G906" s="48"/>
      <c r="H906" s="74"/>
    </row>
    <row r="907">
      <c r="A907" s="48"/>
      <c r="C907" s="79"/>
      <c r="D907" s="36"/>
      <c r="E907" s="36"/>
      <c r="F907" s="36"/>
      <c r="G907" s="48"/>
      <c r="H907" s="74"/>
    </row>
    <row r="908">
      <c r="A908" s="48"/>
      <c r="C908" s="79"/>
      <c r="D908" s="36"/>
      <c r="E908" s="36"/>
      <c r="F908" s="36"/>
      <c r="G908" s="48"/>
      <c r="H908" s="74"/>
    </row>
    <row r="909">
      <c r="A909" s="48"/>
      <c r="C909" s="79"/>
      <c r="D909" s="36"/>
      <c r="E909" s="36"/>
      <c r="F909" s="36"/>
      <c r="G909" s="48"/>
      <c r="H909" s="74"/>
    </row>
    <row r="910">
      <c r="A910" s="48"/>
      <c r="C910" s="79"/>
      <c r="D910" s="36"/>
      <c r="E910" s="36"/>
      <c r="F910" s="36"/>
      <c r="G910" s="48"/>
      <c r="H910" s="74"/>
    </row>
    <row r="911">
      <c r="A911" s="48"/>
      <c r="C911" s="79"/>
      <c r="D911" s="36"/>
      <c r="E911" s="36"/>
      <c r="F911" s="36"/>
      <c r="G911" s="48"/>
      <c r="H911" s="74"/>
    </row>
    <row r="912">
      <c r="A912" s="48"/>
      <c r="C912" s="79"/>
      <c r="D912" s="36"/>
      <c r="E912" s="36"/>
      <c r="F912" s="36"/>
      <c r="G912" s="48"/>
      <c r="H912" s="74"/>
    </row>
    <row r="913">
      <c r="A913" s="48"/>
      <c r="C913" s="79"/>
      <c r="D913" s="36"/>
      <c r="E913" s="36"/>
      <c r="F913" s="36"/>
      <c r="G913" s="48"/>
      <c r="H913" s="74"/>
    </row>
    <row r="914">
      <c r="A914" s="48"/>
      <c r="C914" s="79"/>
      <c r="D914" s="36"/>
      <c r="E914" s="36"/>
      <c r="F914" s="36"/>
      <c r="G914" s="48"/>
      <c r="H914" s="74"/>
    </row>
    <row r="915">
      <c r="A915" s="48"/>
      <c r="C915" s="79"/>
      <c r="D915" s="36"/>
      <c r="E915" s="36"/>
      <c r="F915" s="36"/>
      <c r="G915" s="48"/>
      <c r="H915" s="74"/>
    </row>
    <row r="916">
      <c r="A916" s="48"/>
      <c r="C916" s="79"/>
      <c r="D916" s="36"/>
      <c r="E916" s="36"/>
      <c r="F916" s="36"/>
      <c r="G916" s="48"/>
      <c r="H916" s="74"/>
    </row>
    <row r="917">
      <c r="A917" s="48"/>
      <c r="C917" s="79"/>
      <c r="D917" s="36"/>
      <c r="E917" s="36"/>
      <c r="F917" s="36"/>
      <c r="G917" s="48"/>
      <c r="H917" s="74"/>
    </row>
    <row r="918">
      <c r="A918" s="48"/>
      <c r="C918" s="79"/>
      <c r="D918" s="36"/>
      <c r="E918" s="36"/>
      <c r="F918" s="36"/>
      <c r="G918" s="48"/>
      <c r="H918" s="74"/>
    </row>
    <row r="919">
      <c r="A919" s="48"/>
      <c r="C919" s="79"/>
      <c r="D919" s="36"/>
      <c r="E919" s="36"/>
      <c r="F919" s="36"/>
      <c r="G919" s="48"/>
      <c r="H919" s="74"/>
    </row>
    <row r="920">
      <c r="A920" s="48"/>
      <c r="C920" s="79"/>
      <c r="D920" s="36"/>
      <c r="E920" s="36"/>
      <c r="F920" s="36"/>
      <c r="G920" s="48"/>
      <c r="H920" s="74"/>
    </row>
    <row r="921">
      <c r="A921" s="48"/>
      <c r="C921" s="79"/>
      <c r="D921" s="36"/>
      <c r="E921" s="36"/>
      <c r="F921" s="36"/>
      <c r="G921" s="48"/>
      <c r="H921" s="74"/>
    </row>
    <row r="922">
      <c r="A922" s="48"/>
      <c r="C922" s="79"/>
      <c r="D922" s="36"/>
      <c r="E922" s="36"/>
      <c r="F922" s="36"/>
      <c r="G922" s="48"/>
      <c r="H922" s="74"/>
    </row>
    <row r="923">
      <c r="A923" s="48"/>
      <c r="C923" s="79"/>
      <c r="D923" s="36"/>
      <c r="E923" s="36"/>
      <c r="F923" s="36"/>
      <c r="G923" s="48"/>
      <c r="H923" s="74"/>
    </row>
    <row r="924">
      <c r="A924" s="48"/>
      <c r="C924" s="79"/>
      <c r="D924" s="36"/>
      <c r="E924" s="36"/>
      <c r="F924" s="36"/>
      <c r="G924" s="48"/>
      <c r="H924" s="74"/>
    </row>
    <row r="925">
      <c r="A925" s="48"/>
      <c r="C925" s="79"/>
      <c r="D925" s="36"/>
      <c r="E925" s="36"/>
      <c r="F925" s="36"/>
      <c r="G925" s="48"/>
      <c r="H925" s="74"/>
    </row>
    <row r="926">
      <c r="A926" s="48"/>
      <c r="C926" s="79"/>
      <c r="D926" s="36"/>
      <c r="E926" s="36"/>
      <c r="F926" s="36"/>
      <c r="G926" s="48"/>
      <c r="H926" s="74"/>
    </row>
    <row r="927">
      <c r="A927" s="48"/>
      <c r="C927" s="79"/>
      <c r="D927" s="36"/>
      <c r="E927" s="36"/>
      <c r="F927" s="36"/>
      <c r="G927" s="48"/>
      <c r="H927" s="74"/>
    </row>
    <row r="928">
      <c r="A928" s="48"/>
      <c r="C928" s="79"/>
      <c r="D928" s="36"/>
      <c r="E928" s="36"/>
      <c r="F928" s="36"/>
      <c r="G928" s="48"/>
      <c r="H928" s="74"/>
    </row>
    <row r="929">
      <c r="A929" s="48"/>
      <c r="C929" s="79"/>
      <c r="D929" s="36"/>
      <c r="E929" s="36"/>
      <c r="F929" s="36"/>
      <c r="G929" s="48"/>
      <c r="H929" s="74"/>
    </row>
    <row r="930">
      <c r="A930" s="48"/>
      <c r="C930" s="79"/>
      <c r="D930" s="36"/>
      <c r="E930" s="36"/>
      <c r="F930" s="36"/>
      <c r="G930" s="48"/>
      <c r="H930" s="74"/>
    </row>
    <row r="931">
      <c r="A931" s="48"/>
      <c r="C931" s="79"/>
      <c r="D931" s="36"/>
      <c r="E931" s="36"/>
      <c r="F931" s="36"/>
      <c r="G931" s="48"/>
      <c r="H931" s="74"/>
    </row>
    <row r="932">
      <c r="A932" s="48"/>
      <c r="C932" s="79"/>
      <c r="D932" s="36"/>
      <c r="E932" s="36"/>
      <c r="F932" s="36"/>
      <c r="G932" s="48"/>
      <c r="H932" s="74"/>
    </row>
    <row r="933">
      <c r="A933" s="48"/>
      <c r="C933" s="79"/>
      <c r="D933" s="36"/>
      <c r="E933" s="36"/>
      <c r="F933" s="36"/>
      <c r="G933" s="48"/>
      <c r="H933" s="74"/>
    </row>
    <row r="934">
      <c r="A934" s="48"/>
      <c r="C934" s="79"/>
      <c r="D934" s="36"/>
      <c r="E934" s="36"/>
      <c r="F934" s="36"/>
      <c r="G934" s="48"/>
      <c r="H934" s="74"/>
    </row>
    <row r="935">
      <c r="A935" s="48"/>
      <c r="C935" s="79"/>
      <c r="D935" s="36"/>
      <c r="E935" s="36"/>
      <c r="F935" s="36"/>
      <c r="G935" s="48"/>
      <c r="H935" s="74"/>
    </row>
    <row r="936">
      <c r="A936" s="48"/>
      <c r="C936" s="79"/>
      <c r="D936" s="36"/>
      <c r="E936" s="36"/>
      <c r="F936" s="36"/>
      <c r="G936" s="48"/>
      <c r="H936" s="74"/>
    </row>
    <row r="937">
      <c r="A937" s="48"/>
      <c r="C937" s="79"/>
      <c r="D937" s="36"/>
      <c r="E937" s="36"/>
      <c r="F937" s="36"/>
      <c r="G937" s="48"/>
      <c r="H937" s="74"/>
    </row>
    <row r="938">
      <c r="A938" s="48"/>
      <c r="C938" s="79"/>
      <c r="D938" s="36"/>
      <c r="E938" s="36"/>
      <c r="F938" s="36"/>
      <c r="G938" s="48"/>
      <c r="H938" s="74"/>
    </row>
    <row r="939">
      <c r="A939" s="48"/>
      <c r="C939" s="79"/>
      <c r="D939" s="36"/>
      <c r="E939" s="36"/>
      <c r="F939" s="36"/>
      <c r="G939" s="48"/>
      <c r="H939" s="74"/>
    </row>
    <row r="940">
      <c r="A940" s="48"/>
      <c r="C940" s="79"/>
      <c r="D940" s="36"/>
      <c r="E940" s="36"/>
      <c r="F940" s="36"/>
      <c r="G940" s="48"/>
      <c r="H940" s="74"/>
    </row>
    <row r="941">
      <c r="A941" s="48"/>
      <c r="C941" s="79"/>
      <c r="D941" s="36"/>
      <c r="E941" s="36"/>
      <c r="F941" s="36"/>
      <c r="G941" s="48"/>
      <c r="H941" s="74"/>
    </row>
    <row r="942">
      <c r="A942" s="48"/>
      <c r="C942" s="79"/>
      <c r="D942" s="36"/>
      <c r="E942" s="36"/>
      <c r="F942" s="36"/>
      <c r="G942" s="48"/>
      <c r="H942" s="74"/>
    </row>
    <row r="943">
      <c r="A943" s="48"/>
      <c r="C943" s="79"/>
      <c r="D943" s="36"/>
      <c r="E943" s="36"/>
      <c r="F943" s="36"/>
      <c r="G943" s="48"/>
      <c r="H943" s="74"/>
    </row>
    <row r="944">
      <c r="A944" s="48"/>
      <c r="C944" s="79"/>
      <c r="D944" s="36"/>
      <c r="E944" s="36"/>
      <c r="F944" s="36"/>
      <c r="G944" s="48"/>
      <c r="H944" s="74"/>
    </row>
    <row r="945">
      <c r="A945" s="48"/>
      <c r="C945" s="79"/>
      <c r="D945" s="36"/>
      <c r="E945" s="36"/>
      <c r="F945" s="36"/>
      <c r="G945" s="48"/>
      <c r="H945" s="74"/>
    </row>
    <row r="946">
      <c r="A946" s="48"/>
      <c r="C946" s="79"/>
      <c r="D946" s="36"/>
      <c r="E946" s="36"/>
      <c r="F946" s="36"/>
      <c r="G946" s="48"/>
      <c r="H946" s="74"/>
    </row>
    <row r="947">
      <c r="A947" s="48"/>
      <c r="C947" s="79"/>
      <c r="D947" s="36"/>
      <c r="E947" s="36"/>
      <c r="F947" s="36"/>
      <c r="G947" s="48"/>
      <c r="H947" s="74"/>
    </row>
    <row r="948">
      <c r="A948" s="48"/>
      <c r="C948" s="79"/>
      <c r="D948" s="36"/>
      <c r="E948" s="36"/>
      <c r="F948" s="36"/>
      <c r="G948" s="48"/>
      <c r="H948" s="74"/>
    </row>
    <row r="949">
      <c r="A949" s="48"/>
      <c r="C949" s="79"/>
      <c r="D949" s="36"/>
      <c r="E949" s="36"/>
      <c r="F949" s="36"/>
      <c r="G949" s="48"/>
      <c r="H949" s="74"/>
    </row>
    <row r="950">
      <c r="A950" s="48"/>
      <c r="C950" s="79"/>
      <c r="D950" s="36"/>
      <c r="E950" s="36"/>
      <c r="F950" s="36"/>
      <c r="G950" s="48"/>
      <c r="H950" s="74"/>
    </row>
    <row r="951">
      <c r="A951" s="48"/>
      <c r="C951" s="79"/>
      <c r="D951" s="36"/>
      <c r="E951" s="36"/>
      <c r="F951" s="36"/>
      <c r="G951" s="48"/>
      <c r="H951" s="74"/>
    </row>
    <row r="952">
      <c r="A952" s="48"/>
      <c r="C952" s="79"/>
      <c r="D952" s="36"/>
      <c r="E952" s="36"/>
      <c r="F952" s="36"/>
      <c r="G952" s="48"/>
      <c r="H952" s="74"/>
    </row>
    <row r="953">
      <c r="A953" s="48"/>
      <c r="C953" s="79"/>
      <c r="D953" s="36"/>
      <c r="E953" s="36"/>
      <c r="F953" s="36"/>
      <c r="G953" s="48"/>
      <c r="H953" s="74"/>
    </row>
    <row r="954">
      <c r="A954" s="48"/>
      <c r="C954" s="79"/>
      <c r="D954" s="36"/>
      <c r="E954" s="36"/>
      <c r="F954" s="36"/>
      <c r="G954" s="48"/>
      <c r="H954" s="74"/>
    </row>
    <row r="955">
      <c r="A955" s="48"/>
      <c r="C955" s="79"/>
      <c r="D955" s="36"/>
      <c r="E955" s="36"/>
      <c r="F955" s="36"/>
      <c r="G955" s="48"/>
      <c r="H955" s="74"/>
    </row>
    <row r="956">
      <c r="A956" s="48"/>
      <c r="C956" s="79"/>
      <c r="D956" s="36"/>
      <c r="E956" s="36"/>
      <c r="F956" s="36"/>
      <c r="G956" s="48"/>
      <c r="H956" s="74"/>
    </row>
    <row r="957">
      <c r="A957" s="48"/>
      <c r="C957" s="79"/>
      <c r="D957" s="36"/>
      <c r="E957" s="36"/>
      <c r="F957" s="36"/>
      <c r="G957" s="48"/>
      <c r="H957" s="74"/>
    </row>
    <row r="958">
      <c r="A958" s="48"/>
      <c r="C958" s="79"/>
      <c r="D958" s="36"/>
      <c r="E958" s="36"/>
      <c r="F958" s="36"/>
      <c r="G958" s="48"/>
      <c r="H958" s="74"/>
    </row>
    <row r="959">
      <c r="A959" s="48"/>
      <c r="C959" s="79"/>
      <c r="D959" s="36"/>
      <c r="E959" s="36"/>
      <c r="F959" s="36"/>
      <c r="G959" s="48"/>
      <c r="H959" s="74"/>
    </row>
    <row r="960">
      <c r="A960" s="48"/>
      <c r="C960" s="79"/>
      <c r="D960" s="36"/>
      <c r="E960" s="36"/>
      <c r="F960" s="36"/>
      <c r="G960" s="48"/>
      <c r="H960" s="74"/>
    </row>
    <row r="961">
      <c r="A961" s="48"/>
      <c r="C961" s="79"/>
      <c r="D961" s="36"/>
      <c r="E961" s="36"/>
      <c r="F961" s="36"/>
      <c r="G961" s="48"/>
      <c r="H961" s="74"/>
    </row>
    <row r="962">
      <c r="A962" s="48"/>
      <c r="C962" s="79"/>
      <c r="D962" s="36"/>
      <c r="E962" s="36"/>
      <c r="F962" s="36"/>
      <c r="G962" s="48"/>
      <c r="H962" s="74"/>
    </row>
    <row r="963">
      <c r="A963" s="48"/>
      <c r="C963" s="79"/>
      <c r="D963" s="36"/>
      <c r="E963" s="36"/>
      <c r="F963" s="36"/>
      <c r="G963" s="48"/>
      <c r="H963" s="74"/>
    </row>
    <row r="964">
      <c r="A964" s="48"/>
      <c r="C964" s="79"/>
      <c r="D964" s="36"/>
      <c r="E964" s="36"/>
      <c r="F964" s="36"/>
      <c r="G964" s="48"/>
      <c r="H964" s="74"/>
    </row>
    <row r="965">
      <c r="A965" s="48"/>
      <c r="C965" s="79"/>
      <c r="D965" s="36"/>
      <c r="E965" s="36"/>
      <c r="F965" s="36"/>
      <c r="G965" s="48"/>
      <c r="H965" s="74"/>
    </row>
    <row r="966">
      <c r="A966" s="48"/>
      <c r="C966" s="79"/>
      <c r="D966" s="36"/>
      <c r="E966" s="36"/>
      <c r="F966" s="36"/>
      <c r="G966" s="48"/>
      <c r="H966" s="74"/>
    </row>
    <row r="967">
      <c r="A967" s="48"/>
      <c r="C967" s="79"/>
      <c r="D967" s="36"/>
      <c r="E967" s="36"/>
      <c r="F967" s="36"/>
      <c r="G967" s="48"/>
      <c r="H967" s="74"/>
    </row>
    <row r="968">
      <c r="A968" s="48"/>
      <c r="C968" s="79"/>
      <c r="D968" s="36"/>
      <c r="E968" s="36"/>
      <c r="F968" s="36"/>
      <c r="G968" s="48"/>
      <c r="H968" s="74"/>
    </row>
    <row r="969">
      <c r="A969" s="48"/>
      <c r="C969" s="79"/>
      <c r="D969" s="36"/>
      <c r="E969" s="36"/>
      <c r="F969" s="36"/>
      <c r="G969" s="48"/>
      <c r="H969" s="74"/>
    </row>
    <row r="970">
      <c r="A970" s="48"/>
      <c r="C970" s="79"/>
      <c r="D970" s="36"/>
      <c r="E970" s="36"/>
      <c r="F970" s="36"/>
      <c r="G970" s="48"/>
      <c r="H970" s="74"/>
    </row>
    <row r="971">
      <c r="A971" s="48"/>
      <c r="C971" s="79"/>
      <c r="D971" s="36"/>
      <c r="E971" s="36"/>
      <c r="F971" s="36"/>
      <c r="G971" s="48"/>
      <c r="H971" s="74"/>
    </row>
    <row r="972">
      <c r="A972" s="48"/>
      <c r="C972" s="79"/>
      <c r="D972" s="36"/>
      <c r="E972" s="36"/>
      <c r="F972" s="36"/>
      <c r="G972" s="48"/>
      <c r="H972" s="74"/>
    </row>
    <row r="973">
      <c r="A973" s="48"/>
      <c r="C973" s="79"/>
      <c r="D973" s="36"/>
      <c r="E973" s="36"/>
      <c r="F973" s="36"/>
      <c r="G973" s="48"/>
      <c r="H973" s="74"/>
    </row>
    <row r="974">
      <c r="A974" s="48"/>
      <c r="C974" s="79"/>
      <c r="D974" s="36"/>
      <c r="E974" s="36"/>
      <c r="F974" s="36"/>
      <c r="G974" s="48"/>
      <c r="H974" s="74"/>
    </row>
    <row r="975">
      <c r="A975" s="48"/>
      <c r="C975" s="79"/>
      <c r="D975" s="36"/>
      <c r="E975" s="36"/>
      <c r="F975" s="36"/>
      <c r="G975" s="48"/>
      <c r="H975" s="74"/>
    </row>
    <row r="976">
      <c r="A976" s="48"/>
      <c r="C976" s="79"/>
      <c r="D976" s="36"/>
      <c r="E976" s="36"/>
      <c r="F976" s="36"/>
      <c r="G976" s="48"/>
      <c r="H976" s="74"/>
    </row>
    <row r="977">
      <c r="A977" s="48"/>
      <c r="C977" s="79"/>
      <c r="D977" s="36"/>
      <c r="E977" s="36"/>
      <c r="F977" s="36"/>
      <c r="G977" s="48"/>
      <c r="H977" s="74"/>
    </row>
    <row r="978">
      <c r="A978" s="48"/>
      <c r="C978" s="79"/>
      <c r="D978" s="36"/>
      <c r="E978" s="36"/>
      <c r="F978" s="36"/>
      <c r="G978" s="48"/>
      <c r="H978" s="74"/>
    </row>
    <row r="979">
      <c r="A979" s="48"/>
      <c r="C979" s="79"/>
      <c r="D979" s="36"/>
      <c r="E979" s="36"/>
      <c r="F979" s="36"/>
      <c r="G979" s="48"/>
      <c r="H979" s="74"/>
    </row>
    <row r="980">
      <c r="A980" s="48"/>
      <c r="C980" s="79"/>
      <c r="D980" s="36"/>
      <c r="E980" s="36"/>
      <c r="F980" s="36"/>
      <c r="G980" s="48"/>
      <c r="H980" s="74"/>
    </row>
    <row r="981">
      <c r="A981" s="48"/>
      <c r="C981" s="79"/>
      <c r="D981" s="36"/>
      <c r="E981" s="36"/>
      <c r="F981" s="36"/>
      <c r="G981" s="48"/>
      <c r="H981" s="74"/>
    </row>
    <row r="982">
      <c r="A982" s="48"/>
      <c r="C982" s="79"/>
      <c r="D982" s="36"/>
      <c r="E982" s="36"/>
      <c r="F982" s="36"/>
      <c r="G982" s="48"/>
      <c r="H982" s="74"/>
    </row>
    <row r="983">
      <c r="A983" s="48"/>
      <c r="C983" s="79"/>
      <c r="D983" s="36"/>
      <c r="E983" s="36"/>
      <c r="F983" s="36"/>
      <c r="G983" s="48"/>
      <c r="H983" s="74"/>
    </row>
    <row r="984">
      <c r="A984" s="48"/>
      <c r="C984" s="79"/>
      <c r="D984" s="36"/>
      <c r="E984" s="36"/>
      <c r="F984" s="36"/>
      <c r="G984" s="48"/>
      <c r="H984" s="74"/>
    </row>
    <row r="985">
      <c r="A985" s="48"/>
      <c r="C985" s="79"/>
      <c r="D985" s="36"/>
      <c r="E985" s="36"/>
      <c r="F985" s="36"/>
      <c r="G985" s="48"/>
      <c r="H985" s="74"/>
    </row>
    <row r="986">
      <c r="A986" s="48"/>
      <c r="C986" s="79"/>
      <c r="D986" s="36"/>
      <c r="E986" s="36"/>
      <c r="F986" s="36"/>
      <c r="G986" s="48"/>
      <c r="H986" s="74"/>
    </row>
    <row r="987">
      <c r="A987" s="48"/>
      <c r="C987" s="79"/>
      <c r="D987" s="36"/>
      <c r="E987" s="36"/>
      <c r="F987" s="36"/>
      <c r="G987" s="48"/>
      <c r="H987" s="74"/>
    </row>
    <row r="988">
      <c r="A988" s="48"/>
      <c r="C988" s="79"/>
      <c r="D988" s="36"/>
      <c r="E988" s="36"/>
      <c r="F988" s="36"/>
      <c r="G988" s="48"/>
      <c r="H988" s="74"/>
    </row>
    <row r="989">
      <c r="A989" s="48"/>
      <c r="C989" s="79"/>
      <c r="D989" s="36"/>
      <c r="E989" s="36"/>
      <c r="F989" s="36"/>
      <c r="G989" s="48"/>
      <c r="H989" s="74"/>
    </row>
    <row r="990">
      <c r="A990" s="48"/>
      <c r="C990" s="79"/>
      <c r="D990" s="36"/>
      <c r="E990" s="36"/>
      <c r="F990" s="36"/>
      <c r="G990" s="48"/>
      <c r="H990" s="74"/>
    </row>
    <row r="991">
      <c r="A991" s="48"/>
      <c r="C991" s="79"/>
      <c r="D991" s="36"/>
      <c r="E991" s="36"/>
      <c r="F991" s="36"/>
      <c r="G991" s="48"/>
      <c r="H991" s="74"/>
    </row>
    <row r="992">
      <c r="A992" s="48"/>
      <c r="C992" s="79"/>
      <c r="D992" s="36"/>
      <c r="E992" s="36"/>
      <c r="F992" s="36"/>
      <c r="G992" s="48"/>
      <c r="H992" s="74"/>
    </row>
    <row r="993">
      <c r="A993" s="48"/>
      <c r="C993" s="79"/>
      <c r="D993" s="36"/>
      <c r="E993" s="36"/>
      <c r="F993" s="36"/>
      <c r="G993" s="48"/>
      <c r="H993" s="74"/>
    </row>
    <row r="994">
      <c r="A994" s="48"/>
      <c r="C994" s="79"/>
      <c r="D994" s="36"/>
      <c r="E994" s="36"/>
      <c r="F994" s="36"/>
      <c r="G994" s="48"/>
      <c r="H994" s="74"/>
    </row>
    <row r="995">
      <c r="A995" s="48"/>
      <c r="C995" s="79"/>
      <c r="D995" s="36"/>
      <c r="E995" s="36"/>
      <c r="F995" s="36"/>
      <c r="G995" s="48"/>
      <c r="H995" s="74"/>
    </row>
    <row r="996">
      <c r="A996" s="48"/>
      <c r="C996" s="79"/>
      <c r="D996" s="36"/>
      <c r="E996" s="36"/>
      <c r="F996" s="36"/>
      <c r="G996" s="48"/>
      <c r="H996" s="74"/>
    </row>
    <row r="997">
      <c r="A997" s="48"/>
      <c r="C997" s="79"/>
      <c r="D997" s="36"/>
      <c r="E997" s="36"/>
      <c r="F997" s="36"/>
      <c r="G997" s="48"/>
      <c r="H997" s="74"/>
    </row>
    <row r="998">
      <c r="A998" s="48"/>
      <c r="C998" s="79"/>
      <c r="D998" s="36"/>
      <c r="E998" s="36"/>
      <c r="F998" s="36"/>
      <c r="G998" s="48"/>
      <c r="H998" s="74"/>
    </row>
    <row r="999">
      <c r="A999" s="48"/>
      <c r="C999" s="79"/>
      <c r="D999" s="36"/>
      <c r="E999" s="36"/>
      <c r="F999" s="36"/>
      <c r="G999" s="48"/>
      <c r="H999" s="74"/>
    </row>
    <row r="1000">
      <c r="A1000" s="48"/>
      <c r="C1000" s="79"/>
      <c r="D1000" s="36"/>
      <c r="E1000" s="36"/>
      <c r="F1000" s="36"/>
      <c r="G1000" s="48"/>
      <c r="H1000" s="74"/>
    </row>
    <row r="1001">
      <c r="A1001" s="48"/>
      <c r="C1001" s="79"/>
      <c r="D1001" s="36"/>
      <c r="E1001" s="36"/>
      <c r="F1001" s="36"/>
      <c r="G1001" s="48"/>
      <c r="H1001" s="74"/>
    </row>
    <row r="1002">
      <c r="A1002" s="48"/>
      <c r="C1002" s="79"/>
      <c r="D1002" s="36"/>
      <c r="E1002" s="36"/>
      <c r="F1002" s="36"/>
      <c r="G1002" s="48"/>
      <c r="H1002" s="74"/>
    </row>
    <row r="1003">
      <c r="A1003" s="48"/>
      <c r="C1003" s="79"/>
      <c r="D1003" s="36"/>
      <c r="E1003" s="36"/>
      <c r="F1003" s="36"/>
      <c r="G1003" s="48"/>
      <c r="H1003" s="74"/>
    </row>
    <row r="1004">
      <c r="A1004" s="48"/>
      <c r="C1004" s="79"/>
      <c r="D1004" s="36"/>
      <c r="E1004" s="36"/>
      <c r="F1004" s="36"/>
      <c r="G1004" s="48"/>
      <c r="H1004" s="74"/>
    </row>
    <row r="1005">
      <c r="A1005" s="48"/>
      <c r="C1005" s="79"/>
      <c r="D1005" s="36"/>
      <c r="E1005" s="36"/>
      <c r="F1005" s="36"/>
      <c r="G1005" s="48"/>
      <c r="H1005" s="74"/>
    </row>
    <row r="1006">
      <c r="A1006" s="48"/>
      <c r="C1006" s="79"/>
      <c r="D1006" s="36"/>
      <c r="E1006" s="36"/>
      <c r="F1006" s="36"/>
      <c r="G1006" s="48"/>
      <c r="H1006" s="74"/>
    </row>
    <row r="1007">
      <c r="A1007" s="48"/>
      <c r="C1007" s="79"/>
      <c r="D1007" s="36"/>
      <c r="E1007" s="36"/>
      <c r="F1007" s="36"/>
      <c r="G1007" s="48"/>
      <c r="H1007" s="74"/>
    </row>
    <row r="1008">
      <c r="A1008" s="48"/>
      <c r="C1008" s="79"/>
      <c r="D1008" s="36"/>
      <c r="E1008" s="36"/>
      <c r="F1008" s="36"/>
      <c r="G1008" s="48"/>
      <c r="H1008" s="74"/>
    </row>
    <row r="1009">
      <c r="A1009" s="48"/>
      <c r="C1009" s="79"/>
      <c r="D1009" s="36"/>
      <c r="E1009" s="36"/>
      <c r="F1009" s="36"/>
      <c r="G1009" s="48"/>
      <c r="H1009" s="74"/>
    </row>
    <row r="1010">
      <c r="A1010" s="48"/>
      <c r="C1010" s="79"/>
      <c r="D1010" s="36"/>
      <c r="E1010" s="36"/>
      <c r="F1010" s="36"/>
      <c r="G1010" s="48"/>
      <c r="H1010" s="74"/>
    </row>
    <row r="1011">
      <c r="A1011" s="48"/>
      <c r="C1011" s="79"/>
      <c r="D1011" s="36"/>
      <c r="E1011" s="36"/>
      <c r="F1011" s="36"/>
      <c r="G1011" s="48"/>
      <c r="H1011" s="7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51.13"/>
    <col customWidth="1" min="3" max="3" width="7.63"/>
    <col customWidth="1" min="4" max="4" width="4.25"/>
    <col customWidth="1" min="5" max="5" width="20.13"/>
    <col customWidth="1" min="6" max="6" width="26.38"/>
    <col customWidth="1" min="7" max="7" width="15.38"/>
    <col customWidth="1" min="8" max="8" width="13.88"/>
    <col customWidth="1" min="9" max="9" width="15.88"/>
    <col customWidth="1" min="10" max="10" width="19.63"/>
    <col customWidth="1" min="11" max="11" width="20.0"/>
    <col customWidth="1" min="12" max="12" width="16.88"/>
    <col customWidth="1" min="13" max="13" width="20.25"/>
    <col customWidth="1" min="14" max="14" width="12.63"/>
    <col customWidth="1" min="15" max="15" width="10.25"/>
    <col customWidth="1" min="16" max="16" width="23.25"/>
    <col customWidth="1" min="17" max="17" width="6.0"/>
    <col customWidth="1" min="18" max="18" width="19.75"/>
    <col customWidth="1" min="19" max="19" width="14.88"/>
    <col customWidth="1" min="20" max="20" width="18.13"/>
    <col customWidth="1" min="21" max="21" width="24.0"/>
    <col customWidth="1" min="22" max="22" width="6.88"/>
    <col customWidth="1" min="23" max="23" width="5.13"/>
    <col customWidth="1" min="24" max="24" width="10.13"/>
    <col customWidth="1" min="25" max="25" width="4.38"/>
    <col customWidth="1" min="26" max="26" width="8.5"/>
  </cols>
  <sheetData>
    <row r="1">
      <c r="A1" s="111" t="s">
        <v>0</v>
      </c>
      <c r="B1" s="52" t="s">
        <v>1</v>
      </c>
      <c r="C1" s="50" t="s">
        <v>3</v>
      </c>
      <c r="D1" s="54" t="s">
        <v>213</v>
      </c>
      <c r="E1" s="83" t="s">
        <v>383</v>
      </c>
      <c r="F1" s="81" t="s">
        <v>384</v>
      </c>
      <c r="G1" s="81" t="s">
        <v>385</v>
      </c>
      <c r="H1" s="81" t="s">
        <v>13</v>
      </c>
      <c r="I1" s="81"/>
      <c r="J1" s="81"/>
      <c r="K1" s="81"/>
      <c r="L1" s="82"/>
      <c r="M1" s="82"/>
      <c r="N1" s="83"/>
      <c r="O1" s="83"/>
      <c r="P1" s="83"/>
      <c r="Q1" s="82"/>
      <c r="R1" s="83"/>
      <c r="S1" s="83"/>
      <c r="T1" s="83"/>
      <c r="U1" s="83"/>
      <c r="V1" s="83"/>
      <c r="W1" s="83"/>
      <c r="X1" s="83"/>
      <c r="Y1" s="83"/>
      <c r="Z1" s="83"/>
      <c r="AA1" s="84"/>
      <c r="AB1" s="84"/>
      <c r="AC1" s="84"/>
      <c r="AD1" s="84"/>
      <c r="AE1" s="84"/>
      <c r="AF1" s="84"/>
      <c r="AG1" s="84"/>
      <c r="AH1" s="84"/>
      <c r="AI1" s="84"/>
      <c r="AJ1" s="84"/>
    </row>
    <row r="2">
      <c r="A2" s="93" t="s">
        <v>27</v>
      </c>
      <c r="B2" s="15" t="s">
        <v>28</v>
      </c>
      <c r="C2" s="76">
        <v>2010.0</v>
      </c>
      <c r="D2" s="29">
        <v>1.0</v>
      </c>
      <c r="F2" s="166"/>
      <c r="H2" s="11" t="s">
        <v>386</v>
      </c>
    </row>
    <row r="3">
      <c r="A3" s="93" t="s">
        <v>27</v>
      </c>
      <c r="B3" s="15" t="s">
        <v>28</v>
      </c>
      <c r="C3" s="76">
        <v>2011.0</v>
      </c>
      <c r="D3" s="29">
        <v>2.0</v>
      </c>
      <c r="E3" s="64">
        <v>15.0</v>
      </c>
      <c r="F3" s="73" t="s">
        <v>387</v>
      </c>
      <c r="G3" s="73">
        <v>5000.0</v>
      </c>
      <c r="H3" s="11" t="s">
        <v>386</v>
      </c>
    </row>
    <row r="4">
      <c r="A4" s="93" t="s">
        <v>27</v>
      </c>
      <c r="B4" s="15" t="s">
        <v>28</v>
      </c>
      <c r="C4" s="76">
        <v>2012.0</v>
      </c>
      <c r="D4" s="29">
        <v>3.0</v>
      </c>
      <c r="E4" s="64">
        <v>15.0</v>
      </c>
      <c r="F4" s="73" t="s">
        <v>387</v>
      </c>
      <c r="G4" s="73">
        <v>5000.0</v>
      </c>
      <c r="H4" s="11" t="s">
        <v>386</v>
      </c>
    </row>
    <row r="5">
      <c r="A5" s="93" t="s">
        <v>27</v>
      </c>
      <c r="B5" s="15" t="s">
        <v>28</v>
      </c>
      <c r="C5" s="76">
        <v>2013.0</v>
      </c>
      <c r="D5" s="29">
        <v>4.0</v>
      </c>
      <c r="E5" s="64">
        <v>15.0</v>
      </c>
      <c r="F5" s="73" t="s">
        <v>387</v>
      </c>
      <c r="G5" s="73">
        <v>5000.0</v>
      </c>
      <c r="H5" s="11" t="s">
        <v>386</v>
      </c>
    </row>
    <row r="6">
      <c r="A6" s="93" t="s">
        <v>27</v>
      </c>
      <c r="B6" s="15" t="s">
        <v>28</v>
      </c>
      <c r="C6" s="76">
        <v>2014.0</v>
      </c>
      <c r="D6" s="29">
        <v>5.0</v>
      </c>
      <c r="E6" s="64">
        <v>15.0</v>
      </c>
      <c r="F6" s="73" t="s">
        <v>387</v>
      </c>
      <c r="G6" s="73">
        <v>5000.0</v>
      </c>
      <c r="H6" s="11" t="s">
        <v>386</v>
      </c>
    </row>
    <row r="7">
      <c r="A7" s="93" t="s">
        <v>27</v>
      </c>
      <c r="B7" s="15" t="s">
        <v>28</v>
      </c>
      <c r="C7" s="76">
        <v>2015.0</v>
      </c>
      <c r="D7" s="29">
        <v>6.0</v>
      </c>
      <c r="E7" s="64">
        <v>15.0</v>
      </c>
      <c r="F7" s="73" t="s">
        <v>387</v>
      </c>
      <c r="G7" s="73">
        <v>5000.0</v>
      </c>
      <c r="H7" s="11" t="s">
        <v>386</v>
      </c>
    </row>
    <row r="8">
      <c r="A8" s="93" t="s">
        <v>27</v>
      </c>
      <c r="B8" s="15" t="s">
        <v>28</v>
      </c>
      <c r="C8" s="76">
        <v>2016.0</v>
      </c>
      <c r="D8" s="29">
        <v>7.0</v>
      </c>
      <c r="E8" s="64">
        <v>15.0</v>
      </c>
      <c r="F8" s="73" t="s">
        <v>387</v>
      </c>
      <c r="G8" s="73">
        <v>5000.0</v>
      </c>
      <c r="H8" s="11" t="s">
        <v>386</v>
      </c>
    </row>
    <row r="9">
      <c r="A9" s="93" t="s">
        <v>27</v>
      </c>
      <c r="B9" s="15" t="s">
        <v>28</v>
      </c>
      <c r="C9" s="76" t="s">
        <v>245</v>
      </c>
      <c r="D9" s="29">
        <v>8.0</v>
      </c>
      <c r="E9" s="64">
        <v>15.0</v>
      </c>
      <c r="F9" s="73" t="s">
        <v>387</v>
      </c>
      <c r="G9" s="73">
        <v>5000.0</v>
      </c>
      <c r="H9" s="11" t="s">
        <v>386</v>
      </c>
    </row>
    <row r="10">
      <c r="A10" s="124"/>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93" t="s">
        <v>87</v>
      </c>
      <c r="B11" s="15" t="s">
        <v>88</v>
      </c>
      <c r="C11" s="76">
        <v>2010.0</v>
      </c>
      <c r="D11" s="29">
        <v>1.0</v>
      </c>
      <c r="E11" s="73">
        <v>8.0</v>
      </c>
      <c r="F11" s="29" t="s">
        <v>388</v>
      </c>
      <c r="H11" s="29" t="s">
        <v>389</v>
      </c>
    </row>
    <row r="12">
      <c r="A12" s="93" t="s">
        <v>87</v>
      </c>
      <c r="B12" s="15" t="s">
        <v>88</v>
      </c>
      <c r="C12" s="76">
        <v>2011.0</v>
      </c>
      <c r="D12" s="29">
        <v>2.0</v>
      </c>
      <c r="E12" s="73">
        <v>8.0</v>
      </c>
      <c r="F12" s="29" t="s">
        <v>388</v>
      </c>
      <c r="H12" s="29" t="s">
        <v>389</v>
      </c>
    </row>
    <row r="13">
      <c r="A13" s="93" t="s">
        <v>87</v>
      </c>
      <c r="B13" s="15" t="s">
        <v>88</v>
      </c>
      <c r="C13" s="76">
        <v>2012.0</v>
      </c>
      <c r="D13" s="29">
        <v>3.0</v>
      </c>
      <c r="E13" s="73">
        <v>8.0</v>
      </c>
      <c r="F13" s="29" t="s">
        <v>388</v>
      </c>
      <c r="H13" s="29" t="s">
        <v>389</v>
      </c>
    </row>
    <row r="14">
      <c r="A14" s="93" t="s">
        <v>87</v>
      </c>
      <c r="B14" s="15" t="s">
        <v>88</v>
      </c>
      <c r="C14" s="76">
        <v>2013.0</v>
      </c>
      <c r="D14" s="29">
        <v>4.0</v>
      </c>
      <c r="E14" s="73">
        <v>8.0</v>
      </c>
      <c r="F14" s="29" t="s">
        <v>388</v>
      </c>
      <c r="H14" s="29" t="s">
        <v>389</v>
      </c>
    </row>
    <row r="15">
      <c r="A15" s="93" t="s">
        <v>87</v>
      </c>
      <c r="B15" s="15" t="s">
        <v>88</v>
      </c>
      <c r="C15" s="76">
        <v>2014.0</v>
      </c>
      <c r="D15" s="29">
        <v>5.0</v>
      </c>
      <c r="E15" s="73">
        <v>8.0</v>
      </c>
      <c r="F15" s="29" t="s">
        <v>388</v>
      </c>
      <c r="H15" s="29" t="s">
        <v>389</v>
      </c>
    </row>
    <row r="16">
      <c r="A16" s="93" t="s">
        <v>87</v>
      </c>
      <c r="B16" s="15" t="s">
        <v>88</v>
      </c>
      <c r="C16" s="76">
        <v>2015.0</v>
      </c>
      <c r="D16" s="29">
        <v>6.0</v>
      </c>
      <c r="E16" s="73">
        <v>8.0</v>
      </c>
      <c r="F16" s="29" t="s">
        <v>388</v>
      </c>
      <c r="H16" s="29" t="s">
        <v>389</v>
      </c>
    </row>
    <row r="17">
      <c r="A17" s="93" t="s">
        <v>87</v>
      </c>
      <c r="B17" s="15" t="s">
        <v>88</v>
      </c>
      <c r="C17" s="76">
        <v>2016.0</v>
      </c>
      <c r="D17" s="29">
        <v>7.0</v>
      </c>
      <c r="E17" s="73">
        <v>8.0</v>
      </c>
      <c r="F17" s="29" t="s">
        <v>388</v>
      </c>
      <c r="H17" s="29" t="s">
        <v>389</v>
      </c>
    </row>
    <row r="18">
      <c r="A18" s="93" t="s">
        <v>87</v>
      </c>
      <c r="B18" s="15" t="s">
        <v>88</v>
      </c>
      <c r="C18" s="76" t="s">
        <v>245</v>
      </c>
      <c r="D18" s="29">
        <v>8.0</v>
      </c>
      <c r="E18" s="73">
        <v>8.0</v>
      </c>
      <c r="F18" s="29" t="s">
        <v>388</v>
      </c>
      <c r="H18" s="29" t="s">
        <v>389</v>
      </c>
    </row>
    <row r="19">
      <c r="A19" s="158"/>
    </row>
    <row r="20">
      <c r="A20" s="158"/>
    </row>
    <row r="21">
      <c r="A21" s="158"/>
    </row>
    <row r="22">
      <c r="A22" s="158"/>
    </row>
    <row r="23">
      <c r="A23" s="158"/>
    </row>
    <row r="24">
      <c r="A24" s="158"/>
    </row>
    <row r="25">
      <c r="A25" s="158"/>
    </row>
    <row r="26">
      <c r="A26" s="158"/>
    </row>
    <row r="27">
      <c r="A27" s="158"/>
    </row>
    <row r="28">
      <c r="A28" s="158"/>
    </row>
    <row r="29">
      <c r="A29" s="158"/>
    </row>
    <row r="30">
      <c r="A30" s="158"/>
    </row>
    <row r="31">
      <c r="A31" s="158"/>
    </row>
    <row r="32">
      <c r="A32" s="158"/>
    </row>
    <row r="33">
      <c r="A33" s="158"/>
    </row>
    <row r="34">
      <c r="A34" s="158"/>
    </row>
    <row r="35">
      <c r="A35" s="158"/>
    </row>
    <row r="36">
      <c r="A36" s="158"/>
    </row>
    <row r="37">
      <c r="A37" s="158"/>
    </row>
    <row r="38">
      <c r="A38" s="158"/>
    </row>
    <row r="39">
      <c r="A39" s="158"/>
    </row>
    <row r="40">
      <c r="A40" s="158"/>
    </row>
    <row r="41">
      <c r="A41" s="158"/>
    </row>
    <row r="42">
      <c r="A42" s="158"/>
    </row>
    <row r="43">
      <c r="A43" s="158"/>
    </row>
    <row r="44">
      <c r="A44" s="158"/>
    </row>
    <row r="45">
      <c r="A45" s="158"/>
    </row>
    <row r="46">
      <c r="A46" s="158"/>
    </row>
    <row r="47">
      <c r="A47" s="158"/>
    </row>
    <row r="48">
      <c r="A48" s="158"/>
    </row>
    <row r="49">
      <c r="A49" s="158"/>
    </row>
    <row r="50">
      <c r="A50" s="158"/>
    </row>
    <row r="51">
      <c r="A51" s="158"/>
    </row>
    <row r="52">
      <c r="A52" s="158"/>
    </row>
    <row r="53">
      <c r="A53" s="158"/>
    </row>
    <row r="54">
      <c r="A54" s="158"/>
    </row>
    <row r="55">
      <c r="A55" s="158"/>
    </row>
    <row r="56">
      <c r="A56" s="158"/>
    </row>
    <row r="57">
      <c r="A57" s="158"/>
    </row>
    <row r="58">
      <c r="A58" s="158"/>
    </row>
    <row r="59">
      <c r="A59" s="158"/>
    </row>
    <row r="60">
      <c r="A60" s="158"/>
    </row>
    <row r="61">
      <c r="A61" s="158"/>
    </row>
    <row r="62">
      <c r="A62" s="158"/>
    </row>
    <row r="63">
      <c r="A63" s="158"/>
    </row>
    <row r="64">
      <c r="A64" s="158"/>
    </row>
    <row r="65">
      <c r="A65" s="158"/>
    </row>
    <row r="66">
      <c r="A66" s="158"/>
    </row>
    <row r="67">
      <c r="A67" s="158"/>
    </row>
    <row r="68">
      <c r="A68" s="158"/>
    </row>
    <row r="69">
      <c r="A69" s="158"/>
    </row>
    <row r="70">
      <c r="A70" s="158"/>
    </row>
    <row r="71">
      <c r="A71" s="158"/>
    </row>
    <row r="72">
      <c r="A72" s="158"/>
    </row>
    <row r="73">
      <c r="A73" s="158"/>
    </row>
    <row r="74">
      <c r="A74" s="158"/>
    </row>
    <row r="75">
      <c r="A75" s="158"/>
    </row>
    <row r="76">
      <c r="A76" s="158"/>
    </row>
    <row r="77">
      <c r="A77" s="158"/>
    </row>
    <row r="78">
      <c r="A78" s="158"/>
    </row>
    <row r="79">
      <c r="A79" s="158"/>
    </row>
    <row r="80">
      <c r="A80" s="158"/>
    </row>
    <row r="81">
      <c r="A81" s="158"/>
    </row>
    <row r="82">
      <c r="A82" s="158"/>
    </row>
    <row r="83">
      <c r="A83" s="158"/>
    </row>
    <row r="84">
      <c r="A84" s="158"/>
    </row>
    <row r="85">
      <c r="A85" s="158"/>
    </row>
    <row r="86">
      <c r="A86" s="158"/>
    </row>
    <row r="87">
      <c r="A87" s="158"/>
    </row>
    <row r="88">
      <c r="A88" s="158"/>
    </row>
    <row r="89">
      <c r="A89" s="158"/>
    </row>
    <row r="90">
      <c r="A90" s="158"/>
    </row>
    <row r="91">
      <c r="A91" s="158"/>
    </row>
    <row r="92">
      <c r="A92" s="158"/>
    </row>
    <row r="93">
      <c r="A93" s="158"/>
    </row>
    <row r="94">
      <c r="A94" s="158"/>
    </row>
    <row r="95">
      <c r="A95" s="158"/>
    </row>
    <row r="96">
      <c r="A96" s="158"/>
    </row>
    <row r="97">
      <c r="A97" s="158"/>
    </row>
    <row r="98">
      <c r="A98" s="158"/>
    </row>
    <row r="99">
      <c r="A99" s="158"/>
    </row>
    <row r="100">
      <c r="A100" s="158"/>
    </row>
    <row r="101">
      <c r="A101" s="158"/>
    </row>
    <row r="102">
      <c r="A102" s="158"/>
    </row>
    <row r="103">
      <c r="A103" s="158"/>
    </row>
    <row r="104">
      <c r="A104" s="158"/>
    </row>
    <row r="105">
      <c r="A105" s="158"/>
    </row>
    <row r="106">
      <c r="A106" s="158"/>
    </row>
    <row r="107">
      <c r="A107" s="158"/>
    </row>
    <row r="108">
      <c r="A108" s="158"/>
    </row>
    <row r="109">
      <c r="A109" s="158"/>
    </row>
    <row r="110">
      <c r="A110" s="158"/>
    </row>
    <row r="111">
      <c r="A111" s="158"/>
    </row>
    <row r="112">
      <c r="A112" s="158"/>
    </row>
    <row r="113">
      <c r="A113" s="158"/>
    </row>
    <row r="114">
      <c r="A114" s="158"/>
    </row>
    <row r="115">
      <c r="A115" s="158"/>
    </row>
    <row r="116">
      <c r="A116" s="158"/>
    </row>
    <row r="117">
      <c r="A117" s="158"/>
    </row>
    <row r="118">
      <c r="A118" s="158"/>
    </row>
    <row r="119">
      <c r="A119" s="158"/>
    </row>
    <row r="120">
      <c r="A120" s="158"/>
    </row>
    <row r="121">
      <c r="A121" s="158"/>
    </row>
    <row r="122">
      <c r="A122" s="158"/>
    </row>
    <row r="123">
      <c r="A123" s="158"/>
    </row>
    <row r="124">
      <c r="A124" s="158"/>
    </row>
    <row r="125">
      <c r="A125" s="158"/>
    </row>
    <row r="126">
      <c r="A126" s="158"/>
    </row>
    <row r="127">
      <c r="A127" s="158"/>
    </row>
    <row r="128">
      <c r="A128" s="158"/>
    </row>
    <row r="129">
      <c r="A129" s="158"/>
    </row>
    <row r="130">
      <c r="A130" s="158"/>
    </row>
    <row r="131">
      <c r="A131" s="158"/>
    </row>
    <row r="132">
      <c r="A132" s="158"/>
    </row>
    <row r="133">
      <c r="A133" s="158"/>
    </row>
    <row r="134">
      <c r="A134" s="158"/>
    </row>
    <row r="135">
      <c r="A135" s="158"/>
    </row>
    <row r="136">
      <c r="A136" s="158"/>
    </row>
    <row r="137">
      <c r="A137" s="158"/>
    </row>
    <row r="138">
      <c r="A138" s="158"/>
    </row>
    <row r="139">
      <c r="A139" s="158"/>
    </row>
    <row r="140">
      <c r="A140" s="158"/>
    </row>
    <row r="141">
      <c r="A141" s="158"/>
    </row>
    <row r="142">
      <c r="A142" s="158"/>
    </row>
    <row r="143">
      <c r="A143" s="158"/>
    </row>
    <row r="144">
      <c r="A144" s="158"/>
    </row>
    <row r="145">
      <c r="A145" s="158"/>
    </row>
    <row r="146">
      <c r="A146" s="158"/>
    </row>
    <row r="147">
      <c r="A147" s="158"/>
    </row>
    <row r="148">
      <c r="A148" s="158"/>
    </row>
    <row r="149">
      <c r="A149" s="158"/>
    </row>
    <row r="150">
      <c r="A150" s="158"/>
    </row>
    <row r="151">
      <c r="A151" s="158"/>
    </row>
    <row r="152">
      <c r="A152" s="158"/>
    </row>
    <row r="153">
      <c r="A153" s="158"/>
    </row>
    <row r="154">
      <c r="A154" s="158"/>
    </row>
    <row r="155">
      <c r="A155" s="158"/>
    </row>
    <row r="156">
      <c r="A156" s="158"/>
    </row>
    <row r="157">
      <c r="A157" s="158"/>
    </row>
    <row r="158">
      <c r="A158" s="158"/>
    </row>
    <row r="159">
      <c r="A159" s="158"/>
    </row>
    <row r="160">
      <c r="A160" s="158"/>
    </row>
    <row r="161">
      <c r="A161" s="158"/>
    </row>
    <row r="162">
      <c r="A162" s="158"/>
    </row>
    <row r="163">
      <c r="A163" s="158"/>
    </row>
    <row r="164">
      <c r="A164" s="158"/>
    </row>
    <row r="165">
      <c r="A165" s="158"/>
    </row>
    <row r="166">
      <c r="A166" s="158"/>
    </row>
    <row r="167">
      <c r="A167" s="158"/>
    </row>
    <row r="168">
      <c r="A168" s="158"/>
    </row>
    <row r="169">
      <c r="A169" s="158"/>
    </row>
    <row r="170">
      <c r="A170" s="158"/>
    </row>
    <row r="171">
      <c r="A171" s="158"/>
    </row>
    <row r="172">
      <c r="A172" s="158"/>
    </row>
    <row r="173">
      <c r="A173" s="158"/>
    </row>
    <row r="174">
      <c r="A174" s="158"/>
    </row>
    <row r="175">
      <c r="A175" s="158"/>
    </row>
    <row r="176">
      <c r="A176" s="158"/>
    </row>
    <row r="177">
      <c r="A177" s="158"/>
    </row>
    <row r="178">
      <c r="A178" s="158"/>
    </row>
    <row r="179">
      <c r="A179" s="158"/>
    </row>
    <row r="180">
      <c r="A180" s="158"/>
    </row>
    <row r="181">
      <c r="A181" s="158"/>
    </row>
    <row r="182">
      <c r="A182" s="158"/>
    </row>
    <row r="183">
      <c r="A183" s="158"/>
    </row>
    <row r="184">
      <c r="A184" s="158"/>
    </row>
    <row r="185">
      <c r="A185" s="158"/>
    </row>
    <row r="186">
      <c r="A186" s="158"/>
    </row>
    <row r="187">
      <c r="A187" s="158"/>
    </row>
    <row r="188">
      <c r="A188" s="158"/>
    </row>
    <row r="189">
      <c r="A189" s="158"/>
    </row>
    <row r="190">
      <c r="A190" s="158"/>
    </row>
    <row r="191">
      <c r="A191" s="158"/>
    </row>
    <row r="192">
      <c r="A192" s="158"/>
    </row>
    <row r="193">
      <c r="A193" s="158"/>
    </row>
    <row r="194">
      <c r="A194" s="158"/>
    </row>
    <row r="195">
      <c r="A195" s="158"/>
    </row>
    <row r="196">
      <c r="A196" s="158"/>
    </row>
    <row r="197">
      <c r="A197" s="158"/>
    </row>
    <row r="198">
      <c r="A198" s="158"/>
    </row>
    <row r="199">
      <c r="A199" s="158"/>
    </row>
    <row r="200">
      <c r="A200" s="158"/>
    </row>
    <row r="201">
      <c r="A201" s="158"/>
    </row>
    <row r="202">
      <c r="A202" s="158"/>
    </row>
    <row r="203">
      <c r="A203" s="158"/>
    </row>
    <row r="204">
      <c r="A204" s="158"/>
    </row>
    <row r="205">
      <c r="A205" s="158"/>
    </row>
    <row r="206">
      <c r="A206" s="158"/>
    </row>
    <row r="207">
      <c r="A207" s="158"/>
    </row>
    <row r="208">
      <c r="A208" s="158"/>
    </row>
    <row r="209">
      <c r="A209" s="158"/>
    </row>
    <row r="210">
      <c r="A210" s="158"/>
    </row>
    <row r="211">
      <c r="A211" s="158"/>
    </row>
    <row r="212">
      <c r="A212" s="158"/>
    </row>
    <row r="213">
      <c r="A213" s="158"/>
    </row>
    <row r="214">
      <c r="A214" s="158"/>
    </row>
    <row r="215">
      <c r="A215" s="158"/>
    </row>
    <row r="216">
      <c r="A216" s="158"/>
    </row>
    <row r="217">
      <c r="A217" s="158"/>
    </row>
    <row r="218">
      <c r="A218" s="158"/>
    </row>
    <row r="219">
      <c r="A219" s="158"/>
    </row>
    <row r="220">
      <c r="A220" s="158"/>
    </row>
    <row r="221">
      <c r="A221" s="158"/>
    </row>
    <row r="222">
      <c r="A222" s="158"/>
    </row>
    <row r="223">
      <c r="A223" s="158"/>
    </row>
    <row r="224">
      <c r="A224" s="158"/>
    </row>
    <row r="225">
      <c r="A225" s="158"/>
    </row>
    <row r="226">
      <c r="A226" s="158"/>
    </row>
    <row r="227">
      <c r="A227" s="158"/>
    </row>
    <row r="228">
      <c r="A228" s="158"/>
    </row>
    <row r="229">
      <c r="A229" s="158"/>
    </row>
    <row r="230">
      <c r="A230" s="158"/>
    </row>
    <row r="231">
      <c r="A231" s="158"/>
    </row>
    <row r="232">
      <c r="A232" s="158"/>
    </row>
    <row r="233">
      <c r="A233" s="158"/>
    </row>
    <row r="234">
      <c r="A234" s="158"/>
    </row>
    <row r="235">
      <c r="A235" s="158"/>
    </row>
    <row r="236">
      <c r="A236" s="158"/>
    </row>
    <row r="237">
      <c r="A237" s="158"/>
    </row>
    <row r="238">
      <c r="A238" s="158"/>
    </row>
    <row r="239">
      <c r="A239" s="158"/>
    </row>
    <row r="240">
      <c r="A240" s="158"/>
    </row>
    <row r="241">
      <c r="A241" s="158"/>
    </row>
    <row r="242">
      <c r="A242" s="158"/>
    </row>
    <row r="243">
      <c r="A243" s="158"/>
    </row>
    <row r="244">
      <c r="A244" s="158"/>
    </row>
    <row r="245">
      <c r="A245" s="158"/>
    </row>
    <row r="246">
      <c r="A246" s="158"/>
    </row>
    <row r="247">
      <c r="A247" s="158"/>
    </row>
    <row r="248">
      <c r="A248" s="158"/>
    </row>
    <row r="249">
      <c r="A249" s="158"/>
    </row>
    <row r="250">
      <c r="A250" s="158"/>
    </row>
    <row r="251">
      <c r="A251" s="158"/>
    </row>
    <row r="252">
      <c r="A252" s="158"/>
    </row>
    <row r="253">
      <c r="A253" s="158"/>
    </row>
    <row r="254">
      <c r="A254" s="158"/>
    </row>
    <row r="255">
      <c r="A255" s="158"/>
    </row>
    <row r="256">
      <c r="A256" s="158"/>
    </row>
    <row r="257">
      <c r="A257" s="158"/>
    </row>
    <row r="258">
      <c r="A258" s="158"/>
    </row>
    <row r="259">
      <c r="A259" s="158"/>
    </row>
    <row r="260">
      <c r="A260" s="158"/>
    </row>
    <row r="261">
      <c r="A261" s="158"/>
    </row>
    <row r="262">
      <c r="A262" s="158"/>
    </row>
    <row r="263">
      <c r="A263" s="158"/>
    </row>
    <row r="264">
      <c r="A264" s="158"/>
    </row>
    <row r="265">
      <c r="A265" s="158"/>
    </row>
    <row r="266">
      <c r="A266" s="158"/>
    </row>
    <row r="267">
      <c r="A267" s="158"/>
    </row>
    <row r="268">
      <c r="A268" s="158"/>
    </row>
    <row r="269">
      <c r="A269" s="158"/>
    </row>
    <row r="270">
      <c r="A270" s="158"/>
    </row>
    <row r="271">
      <c r="A271" s="158"/>
    </row>
    <row r="272">
      <c r="A272" s="158"/>
    </row>
    <row r="273">
      <c r="A273" s="158"/>
    </row>
    <row r="274">
      <c r="A274" s="158"/>
    </row>
    <row r="275">
      <c r="A275" s="158"/>
    </row>
    <row r="276">
      <c r="A276" s="158"/>
    </row>
    <row r="277">
      <c r="A277" s="158"/>
    </row>
    <row r="278">
      <c r="A278" s="158"/>
    </row>
    <row r="279">
      <c r="A279" s="158"/>
    </row>
    <row r="280">
      <c r="A280" s="158"/>
    </row>
    <row r="281">
      <c r="A281" s="158"/>
    </row>
    <row r="282">
      <c r="A282" s="158"/>
    </row>
    <row r="283">
      <c r="A283" s="158"/>
    </row>
    <row r="284">
      <c r="A284" s="158"/>
    </row>
    <row r="285">
      <c r="A285" s="158"/>
    </row>
    <row r="286">
      <c r="A286" s="158"/>
    </row>
    <row r="287">
      <c r="A287" s="158"/>
    </row>
    <row r="288">
      <c r="A288" s="158"/>
    </row>
    <row r="289">
      <c r="A289" s="158"/>
    </row>
    <row r="290">
      <c r="A290" s="158"/>
    </row>
    <row r="291">
      <c r="A291" s="158"/>
    </row>
    <row r="292">
      <c r="A292" s="158"/>
    </row>
    <row r="293">
      <c r="A293" s="158"/>
    </row>
    <row r="294">
      <c r="A294" s="158"/>
    </row>
    <row r="295">
      <c r="A295" s="158"/>
    </row>
    <row r="296">
      <c r="A296" s="158"/>
    </row>
    <row r="297">
      <c r="A297" s="158"/>
    </row>
    <row r="298">
      <c r="A298" s="158"/>
    </row>
    <row r="299">
      <c r="A299" s="158"/>
    </row>
    <row r="300">
      <c r="A300" s="158"/>
    </row>
    <row r="301">
      <c r="A301" s="158"/>
    </row>
    <row r="302">
      <c r="A302" s="158"/>
    </row>
    <row r="303">
      <c r="A303" s="158"/>
    </row>
    <row r="304">
      <c r="A304" s="158"/>
    </row>
    <row r="305">
      <c r="A305" s="158"/>
    </row>
    <row r="306">
      <c r="A306" s="158"/>
    </row>
    <row r="307">
      <c r="A307" s="158"/>
    </row>
    <row r="308">
      <c r="A308" s="158"/>
    </row>
    <row r="309">
      <c r="A309" s="158"/>
    </row>
    <row r="310">
      <c r="A310" s="158"/>
    </row>
    <row r="311">
      <c r="A311" s="158"/>
    </row>
    <row r="312">
      <c r="A312" s="158"/>
    </row>
    <row r="313">
      <c r="A313" s="158"/>
    </row>
    <row r="314">
      <c r="A314" s="158"/>
    </row>
    <row r="315">
      <c r="A315" s="158"/>
    </row>
    <row r="316">
      <c r="A316" s="158"/>
    </row>
    <row r="317">
      <c r="A317" s="158"/>
    </row>
    <row r="318">
      <c r="A318" s="158"/>
    </row>
    <row r="319">
      <c r="A319" s="158"/>
    </row>
    <row r="320">
      <c r="A320" s="158"/>
    </row>
    <row r="321">
      <c r="A321" s="158"/>
    </row>
    <row r="322">
      <c r="A322" s="158"/>
    </row>
    <row r="323">
      <c r="A323" s="158"/>
    </row>
    <row r="324">
      <c r="A324" s="158"/>
    </row>
    <row r="325">
      <c r="A325" s="158"/>
    </row>
    <row r="326">
      <c r="A326" s="158"/>
    </row>
    <row r="327">
      <c r="A327" s="158"/>
    </row>
    <row r="328">
      <c r="A328" s="158"/>
    </row>
    <row r="329">
      <c r="A329" s="158"/>
    </row>
    <row r="330">
      <c r="A330" s="158"/>
    </row>
    <row r="331">
      <c r="A331" s="158"/>
    </row>
    <row r="332">
      <c r="A332" s="158"/>
    </row>
    <row r="333">
      <c r="A333" s="158"/>
    </row>
    <row r="334">
      <c r="A334" s="158"/>
    </row>
    <row r="335">
      <c r="A335" s="158"/>
    </row>
    <row r="336">
      <c r="A336" s="158"/>
    </row>
    <row r="337">
      <c r="A337" s="158"/>
    </row>
    <row r="338">
      <c r="A338" s="158"/>
    </row>
    <row r="339">
      <c r="A339" s="158"/>
    </row>
    <row r="340">
      <c r="A340" s="158"/>
    </row>
    <row r="341">
      <c r="A341" s="158"/>
    </row>
    <row r="342">
      <c r="A342" s="158"/>
    </row>
    <row r="343">
      <c r="A343" s="158"/>
    </row>
    <row r="344">
      <c r="A344" s="158"/>
    </row>
    <row r="345">
      <c r="A345" s="158"/>
    </row>
    <row r="346">
      <c r="A346" s="158"/>
    </row>
    <row r="347">
      <c r="A347" s="158"/>
    </row>
    <row r="348">
      <c r="A348" s="158"/>
    </row>
    <row r="349">
      <c r="A349" s="158"/>
    </row>
    <row r="350">
      <c r="A350" s="158"/>
    </row>
    <row r="351">
      <c r="A351" s="158"/>
    </row>
    <row r="352">
      <c r="A352" s="158"/>
    </row>
    <row r="353">
      <c r="A353" s="158"/>
    </row>
    <row r="354">
      <c r="A354" s="158"/>
    </row>
    <row r="355">
      <c r="A355" s="158"/>
    </row>
    <row r="356">
      <c r="A356" s="158"/>
    </row>
    <row r="357">
      <c r="A357" s="158"/>
    </row>
    <row r="358">
      <c r="A358" s="158"/>
    </row>
    <row r="359">
      <c r="A359" s="158"/>
    </row>
    <row r="360">
      <c r="A360" s="158"/>
    </row>
    <row r="361">
      <c r="A361" s="158"/>
    </row>
    <row r="362">
      <c r="A362" s="158"/>
    </row>
    <row r="363">
      <c r="A363" s="158"/>
    </row>
    <row r="364">
      <c r="A364" s="158"/>
    </row>
    <row r="365">
      <c r="A365" s="158"/>
    </row>
    <row r="366">
      <c r="A366" s="158"/>
    </row>
    <row r="367">
      <c r="A367" s="158"/>
    </row>
    <row r="368">
      <c r="A368" s="158"/>
    </row>
    <row r="369">
      <c r="A369" s="158"/>
    </row>
    <row r="370">
      <c r="A370" s="158"/>
    </row>
    <row r="371">
      <c r="A371" s="158"/>
    </row>
    <row r="372">
      <c r="A372" s="158"/>
    </row>
    <row r="373">
      <c r="A373" s="158"/>
    </row>
    <row r="374">
      <c r="A374" s="158"/>
    </row>
    <row r="375">
      <c r="A375" s="158"/>
    </row>
    <row r="376">
      <c r="A376" s="158"/>
    </row>
    <row r="377">
      <c r="A377" s="158"/>
    </row>
    <row r="378">
      <c r="A378" s="158"/>
    </row>
    <row r="379">
      <c r="A379" s="158"/>
    </row>
    <row r="380">
      <c r="A380" s="158"/>
    </row>
    <row r="381">
      <c r="A381" s="158"/>
    </row>
    <row r="382">
      <c r="A382" s="158"/>
    </row>
    <row r="383">
      <c r="A383" s="158"/>
    </row>
    <row r="384">
      <c r="A384" s="158"/>
    </row>
    <row r="385">
      <c r="A385" s="158"/>
    </row>
    <row r="386">
      <c r="A386" s="158"/>
    </row>
    <row r="387">
      <c r="A387" s="158"/>
    </row>
    <row r="388">
      <c r="A388" s="158"/>
    </row>
    <row r="389">
      <c r="A389" s="158"/>
    </row>
    <row r="390">
      <c r="A390" s="158"/>
    </row>
    <row r="391">
      <c r="A391" s="158"/>
    </row>
    <row r="392">
      <c r="A392" s="158"/>
    </row>
    <row r="393">
      <c r="A393" s="158"/>
    </row>
    <row r="394">
      <c r="A394" s="158"/>
    </row>
    <row r="395">
      <c r="A395" s="158"/>
    </row>
    <row r="396">
      <c r="A396" s="158"/>
    </row>
    <row r="397">
      <c r="A397" s="158"/>
    </row>
    <row r="398">
      <c r="A398" s="158"/>
    </row>
    <row r="399">
      <c r="A399" s="158"/>
    </row>
    <row r="400">
      <c r="A400" s="158"/>
    </row>
    <row r="401">
      <c r="A401" s="158"/>
    </row>
    <row r="402">
      <c r="A402" s="158"/>
    </row>
    <row r="403">
      <c r="A403" s="158"/>
    </row>
    <row r="404">
      <c r="A404" s="158"/>
    </row>
    <row r="405">
      <c r="A405" s="158"/>
    </row>
    <row r="406">
      <c r="A406" s="158"/>
    </row>
    <row r="407">
      <c r="A407" s="158"/>
    </row>
    <row r="408">
      <c r="A408" s="158"/>
    </row>
    <row r="409">
      <c r="A409" s="158"/>
    </row>
    <row r="410">
      <c r="A410" s="158"/>
    </row>
    <row r="411">
      <c r="A411" s="158"/>
    </row>
    <row r="412">
      <c r="A412" s="158"/>
    </row>
    <row r="413">
      <c r="A413" s="158"/>
    </row>
    <row r="414">
      <c r="A414" s="158"/>
    </row>
    <row r="415">
      <c r="A415" s="158"/>
    </row>
    <row r="416">
      <c r="A416" s="158"/>
    </row>
    <row r="417">
      <c r="A417" s="158"/>
    </row>
    <row r="418">
      <c r="A418" s="158"/>
    </row>
    <row r="419">
      <c r="A419" s="158"/>
    </row>
    <row r="420">
      <c r="A420" s="158"/>
    </row>
    <row r="421">
      <c r="A421" s="158"/>
    </row>
    <row r="422">
      <c r="A422" s="158"/>
    </row>
    <row r="423">
      <c r="A423" s="158"/>
    </row>
    <row r="424">
      <c r="A424" s="158"/>
    </row>
    <row r="425">
      <c r="A425" s="158"/>
    </row>
    <row r="426">
      <c r="A426" s="158"/>
    </row>
    <row r="427">
      <c r="A427" s="158"/>
    </row>
    <row r="428">
      <c r="A428" s="158"/>
    </row>
    <row r="429">
      <c r="A429" s="158"/>
    </row>
    <row r="430">
      <c r="A430" s="158"/>
    </row>
    <row r="431">
      <c r="A431" s="158"/>
    </row>
    <row r="432">
      <c r="A432" s="158"/>
    </row>
    <row r="433">
      <c r="A433" s="158"/>
    </row>
    <row r="434">
      <c r="A434" s="158"/>
    </row>
    <row r="435">
      <c r="A435" s="158"/>
    </row>
    <row r="436">
      <c r="A436" s="158"/>
    </row>
    <row r="437">
      <c r="A437" s="158"/>
    </row>
    <row r="438">
      <c r="A438" s="158"/>
    </row>
    <row r="439">
      <c r="A439" s="158"/>
    </row>
    <row r="440">
      <c r="A440" s="158"/>
    </row>
    <row r="441">
      <c r="A441" s="158"/>
    </row>
    <row r="442">
      <c r="A442" s="158"/>
    </row>
    <row r="443">
      <c r="A443" s="158"/>
    </row>
    <row r="444">
      <c r="A444" s="158"/>
    </row>
    <row r="445">
      <c r="A445" s="158"/>
    </row>
    <row r="446">
      <c r="A446" s="158"/>
    </row>
    <row r="447">
      <c r="A447" s="158"/>
    </row>
    <row r="448">
      <c r="A448" s="158"/>
    </row>
    <row r="449">
      <c r="A449" s="158"/>
    </row>
    <row r="450">
      <c r="A450" s="158"/>
    </row>
    <row r="451">
      <c r="A451" s="158"/>
    </row>
    <row r="452">
      <c r="A452" s="158"/>
    </row>
    <row r="453">
      <c r="A453" s="158"/>
    </row>
    <row r="454">
      <c r="A454" s="158"/>
    </row>
    <row r="455">
      <c r="A455" s="158"/>
    </row>
    <row r="456">
      <c r="A456" s="158"/>
    </row>
    <row r="457">
      <c r="A457" s="158"/>
    </row>
    <row r="458">
      <c r="A458" s="158"/>
    </row>
    <row r="459">
      <c r="A459" s="158"/>
    </row>
    <row r="460">
      <c r="A460" s="158"/>
    </row>
    <row r="461">
      <c r="A461" s="158"/>
    </row>
    <row r="462">
      <c r="A462" s="158"/>
    </row>
    <row r="463">
      <c r="A463" s="158"/>
    </row>
    <row r="464">
      <c r="A464" s="158"/>
    </row>
    <row r="465">
      <c r="A465" s="158"/>
    </row>
    <row r="466">
      <c r="A466" s="158"/>
    </row>
    <row r="467">
      <c r="A467" s="158"/>
    </row>
    <row r="468">
      <c r="A468" s="158"/>
    </row>
    <row r="469">
      <c r="A469" s="158"/>
    </row>
    <row r="470">
      <c r="A470" s="158"/>
    </row>
    <row r="471">
      <c r="A471" s="158"/>
    </row>
    <row r="472">
      <c r="A472" s="158"/>
    </row>
    <row r="473">
      <c r="A473" s="158"/>
    </row>
    <row r="474">
      <c r="A474" s="158"/>
    </row>
    <row r="475">
      <c r="A475" s="158"/>
    </row>
    <row r="476">
      <c r="A476" s="158"/>
    </row>
    <row r="477">
      <c r="A477" s="158"/>
    </row>
    <row r="478">
      <c r="A478" s="158"/>
    </row>
    <row r="479">
      <c r="A479" s="158"/>
    </row>
    <row r="480">
      <c r="A480" s="158"/>
    </row>
    <row r="481">
      <c r="A481" s="158"/>
    </row>
    <row r="482">
      <c r="A482" s="158"/>
    </row>
    <row r="483">
      <c r="A483" s="158"/>
    </row>
    <row r="484">
      <c r="A484" s="158"/>
    </row>
    <row r="485">
      <c r="A485" s="158"/>
    </row>
    <row r="486">
      <c r="A486" s="158"/>
    </row>
    <row r="487">
      <c r="A487" s="158"/>
    </row>
    <row r="488">
      <c r="A488" s="158"/>
    </row>
    <row r="489">
      <c r="A489" s="158"/>
    </row>
    <row r="490">
      <c r="A490" s="158"/>
    </row>
    <row r="491">
      <c r="A491" s="158"/>
    </row>
    <row r="492">
      <c r="A492" s="158"/>
    </row>
    <row r="493">
      <c r="A493" s="158"/>
    </row>
    <row r="494">
      <c r="A494" s="158"/>
    </row>
    <row r="495">
      <c r="A495" s="158"/>
    </row>
    <row r="496">
      <c r="A496" s="158"/>
    </row>
    <row r="497">
      <c r="A497" s="158"/>
    </row>
    <row r="498">
      <c r="A498" s="158"/>
    </row>
    <row r="499">
      <c r="A499" s="158"/>
    </row>
    <row r="500">
      <c r="A500" s="158"/>
    </row>
    <row r="501">
      <c r="A501" s="158"/>
    </row>
    <row r="502">
      <c r="A502" s="158"/>
    </row>
    <row r="503">
      <c r="A503" s="158"/>
    </row>
    <row r="504">
      <c r="A504" s="158"/>
    </row>
    <row r="505">
      <c r="A505" s="158"/>
    </row>
    <row r="506">
      <c r="A506" s="158"/>
    </row>
    <row r="507">
      <c r="A507" s="158"/>
    </row>
    <row r="508">
      <c r="A508" s="158"/>
    </row>
    <row r="509">
      <c r="A509" s="158"/>
    </row>
    <row r="510">
      <c r="A510" s="158"/>
    </row>
    <row r="511">
      <c r="A511" s="158"/>
    </row>
    <row r="512">
      <c r="A512" s="158"/>
    </row>
    <row r="513">
      <c r="A513" s="158"/>
    </row>
    <row r="514">
      <c r="A514" s="158"/>
    </row>
    <row r="515">
      <c r="A515" s="158"/>
    </row>
    <row r="516">
      <c r="A516" s="158"/>
    </row>
    <row r="517">
      <c r="A517" s="158"/>
    </row>
    <row r="518">
      <c r="A518" s="158"/>
    </row>
    <row r="519">
      <c r="A519" s="158"/>
    </row>
    <row r="520">
      <c r="A520" s="158"/>
    </row>
    <row r="521">
      <c r="A521" s="158"/>
    </row>
    <row r="522">
      <c r="A522" s="158"/>
    </row>
    <row r="523">
      <c r="A523" s="158"/>
    </row>
    <row r="524">
      <c r="A524" s="158"/>
    </row>
    <row r="525">
      <c r="A525" s="158"/>
    </row>
    <row r="526">
      <c r="A526" s="158"/>
    </row>
    <row r="527">
      <c r="A527" s="158"/>
    </row>
    <row r="528">
      <c r="A528" s="158"/>
    </row>
    <row r="529">
      <c r="A529" s="158"/>
    </row>
    <row r="530">
      <c r="A530" s="158"/>
    </row>
    <row r="531">
      <c r="A531" s="158"/>
    </row>
    <row r="532">
      <c r="A532" s="158"/>
    </row>
    <row r="533">
      <c r="A533" s="158"/>
    </row>
    <row r="534">
      <c r="A534" s="158"/>
    </row>
    <row r="535">
      <c r="A535" s="158"/>
    </row>
    <row r="536">
      <c r="A536" s="158"/>
    </row>
    <row r="537">
      <c r="A537" s="158"/>
    </row>
    <row r="538">
      <c r="A538" s="158"/>
    </row>
    <row r="539">
      <c r="A539" s="158"/>
    </row>
    <row r="540">
      <c r="A540" s="158"/>
    </row>
    <row r="541">
      <c r="A541" s="158"/>
    </row>
    <row r="542">
      <c r="A542" s="158"/>
    </row>
    <row r="543">
      <c r="A543" s="158"/>
    </row>
    <row r="544">
      <c r="A544" s="158"/>
    </row>
    <row r="545">
      <c r="A545" s="158"/>
    </row>
    <row r="546">
      <c r="A546" s="158"/>
    </row>
    <row r="547">
      <c r="A547" s="158"/>
    </row>
    <row r="548">
      <c r="A548" s="158"/>
    </row>
    <row r="549">
      <c r="A549" s="158"/>
    </row>
    <row r="550">
      <c r="A550" s="158"/>
    </row>
    <row r="551">
      <c r="A551" s="158"/>
    </row>
    <row r="552">
      <c r="A552" s="158"/>
    </row>
    <row r="553">
      <c r="A553" s="158"/>
    </row>
    <row r="554">
      <c r="A554" s="158"/>
    </row>
    <row r="555">
      <c r="A555" s="158"/>
    </row>
    <row r="556">
      <c r="A556" s="158"/>
    </row>
    <row r="557">
      <c r="A557" s="158"/>
    </row>
    <row r="558">
      <c r="A558" s="158"/>
    </row>
    <row r="559">
      <c r="A559" s="158"/>
    </row>
    <row r="560">
      <c r="A560" s="158"/>
    </row>
    <row r="561">
      <c r="A561" s="158"/>
    </row>
    <row r="562">
      <c r="A562" s="158"/>
    </row>
    <row r="563">
      <c r="A563" s="158"/>
    </row>
    <row r="564">
      <c r="A564" s="158"/>
    </row>
    <row r="565">
      <c r="A565" s="158"/>
    </row>
    <row r="566">
      <c r="A566" s="158"/>
    </row>
    <row r="567">
      <c r="A567" s="158"/>
    </row>
    <row r="568">
      <c r="A568" s="158"/>
    </row>
    <row r="569">
      <c r="A569" s="158"/>
    </row>
    <row r="570">
      <c r="A570" s="158"/>
    </row>
    <row r="571">
      <c r="A571" s="158"/>
    </row>
    <row r="572">
      <c r="A572" s="158"/>
    </row>
    <row r="573">
      <c r="A573" s="158"/>
    </row>
    <row r="574">
      <c r="A574" s="158"/>
    </row>
    <row r="575">
      <c r="A575" s="158"/>
    </row>
    <row r="576">
      <c r="A576" s="158"/>
    </row>
    <row r="577">
      <c r="A577" s="158"/>
    </row>
    <row r="578">
      <c r="A578" s="158"/>
    </row>
    <row r="579">
      <c r="A579" s="158"/>
    </row>
    <row r="580">
      <c r="A580" s="158"/>
    </row>
    <row r="581">
      <c r="A581" s="158"/>
    </row>
    <row r="582">
      <c r="A582" s="158"/>
    </row>
    <row r="583">
      <c r="A583" s="158"/>
    </row>
    <row r="584">
      <c r="A584" s="158"/>
    </row>
    <row r="585">
      <c r="A585" s="158"/>
    </row>
    <row r="586">
      <c r="A586" s="158"/>
    </row>
    <row r="587">
      <c r="A587" s="158"/>
    </row>
    <row r="588">
      <c r="A588" s="158"/>
    </row>
    <row r="589">
      <c r="A589" s="158"/>
    </row>
    <row r="590">
      <c r="A590" s="158"/>
    </row>
    <row r="591">
      <c r="A591" s="158"/>
    </row>
    <row r="592">
      <c r="A592" s="158"/>
    </row>
    <row r="593">
      <c r="A593" s="158"/>
    </row>
    <row r="594">
      <c r="A594" s="158"/>
    </row>
    <row r="595">
      <c r="A595" s="158"/>
    </row>
    <row r="596">
      <c r="A596" s="158"/>
    </row>
    <row r="597">
      <c r="A597" s="158"/>
    </row>
    <row r="598">
      <c r="A598" s="158"/>
    </row>
    <row r="599">
      <c r="A599" s="158"/>
    </row>
    <row r="600">
      <c r="A600" s="158"/>
    </row>
    <row r="601">
      <c r="A601" s="158"/>
    </row>
    <row r="602">
      <c r="A602" s="158"/>
    </row>
    <row r="603">
      <c r="A603" s="158"/>
    </row>
    <row r="604">
      <c r="A604" s="158"/>
    </row>
    <row r="605">
      <c r="A605" s="158"/>
    </row>
    <row r="606">
      <c r="A606" s="158"/>
    </row>
    <row r="607">
      <c r="A607" s="158"/>
    </row>
    <row r="608">
      <c r="A608" s="158"/>
    </row>
    <row r="609">
      <c r="A609" s="158"/>
    </row>
    <row r="610">
      <c r="A610" s="158"/>
    </row>
    <row r="611">
      <c r="A611" s="158"/>
    </row>
    <row r="612">
      <c r="A612" s="158"/>
    </row>
    <row r="613">
      <c r="A613" s="158"/>
    </row>
    <row r="614">
      <c r="A614" s="158"/>
    </row>
    <row r="615">
      <c r="A615" s="158"/>
    </row>
    <row r="616">
      <c r="A616" s="158"/>
    </row>
    <row r="617">
      <c r="A617" s="158"/>
    </row>
    <row r="618">
      <c r="A618" s="158"/>
    </row>
    <row r="619">
      <c r="A619" s="158"/>
    </row>
    <row r="620">
      <c r="A620" s="158"/>
    </row>
    <row r="621">
      <c r="A621" s="158"/>
    </row>
    <row r="622">
      <c r="A622" s="158"/>
    </row>
    <row r="623">
      <c r="A623" s="158"/>
    </row>
    <row r="624">
      <c r="A624" s="158"/>
    </row>
    <row r="625">
      <c r="A625" s="158"/>
    </row>
    <row r="626">
      <c r="A626" s="158"/>
    </row>
    <row r="627">
      <c r="A627" s="158"/>
    </row>
    <row r="628">
      <c r="A628" s="158"/>
    </row>
    <row r="629">
      <c r="A629" s="158"/>
    </row>
    <row r="630">
      <c r="A630" s="158"/>
    </row>
    <row r="631">
      <c r="A631" s="158"/>
    </row>
    <row r="632">
      <c r="A632" s="158"/>
    </row>
    <row r="633">
      <c r="A633" s="158"/>
    </row>
    <row r="634">
      <c r="A634" s="158"/>
    </row>
    <row r="635">
      <c r="A635" s="158"/>
    </row>
    <row r="636">
      <c r="A636" s="158"/>
    </row>
    <row r="637">
      <c r="A637" s="158"/>
    </row>
    <row r="638">
      <c r="A638" s="158"/>
    </row>
    <row r="639">
      <c r="A639" s="158"/>
    </row>
    <row r="640">
      <c r="A640" s="158"/>
    </row>
    <row r="641">
      <c r="A641" s="158"/>
    </row>
    <row r="642">
      <c r="A642" s="158"/>
    </row>
    <row r="643">
      <c r="A643" s="158"/>
    </row>
    <row r="644">
      <c r="A644" s="158"/>
    </row>
    <row r="645">
      <c r="A645" s="158"/>
    </row>
    <row r="646">
      <c r="A646" s="158"/>
    </row>
    <row r="647">
      <c r="A647" s="158"/>
    </row>
    <row r="648">
      <c r="A648" s="158"/>
    </row>
    <row r="649">
      <c r="A649" s="158"/>
    </row>
    <row r="650">
      <c r="A650" s="158"/>
    </row>
    <row r="651">
      <c r="A651" s="158"/>
    </row>
    <row r="652">
      <c r="A652" s="158"/>
    </row>
    <row r="653">
      <c r="A653" s="158"/>
    </row>
    <row r="654">
      <c r="A654" s="158"/>
    </row>
    <row r="655">
      <c r="A655" s="158"/>
    </row>
    <row r="656">
      <c r="A656" s="158"/>
    </row>
    <row r="657">
      <c r="A657" s="158"/>
    </row>
    <row r="658">
      <c r="A658" s="158"/>
    </row>
    <row r="659">
      <c r="A659" s="158"/>
    </row>
    <row r="660">
      <c r="A660" s="158"/>
    </row>
    <row r="661">
      <c r="A661" s="158"/>
    </row>
    <row r="662">
      <c r="A662" s="158"/>
    </row>
    <row r="663">
      <c r="A663" s="158"/>
    </row>
    <row r="664">
      <c r="A664" s="158"/>
    </row>
    <row r="665">
      <c r="A665" s="158"/>
    </row>
    <row r="666">
      <c r="A666" s="158"/>
    </row>
    <row r="667">
      <c r="A667" s="158"/>
    </row>
    <row r="668">
      <c r="A668" s="158"/>
    </row>
    <row r="669">
      <c r="A669" s="158"/>
    </row>
    <row r="670">
      <c r="A670" s="158"/>
    </row>
    <row r="671">
      <c r="A671" s="158"/>
    </row>
    <row r="672">
      <c r="A672" s="158"/>
    </row>
    <row r="673">
      <c r="A673" s="158"/>
    </row>
    <row r="674">
      <c r="A674" s="158"/>
    </row>
    <row r="675">
      <c r="A675" s="158"/>
    </row>
    <row r="676">
      <c r="A676" s="158"/>
    </row>
    <row r="677">
      <c r="A677" s="158"/>
    </row>
    <row r="678">
      <c r="A678" s="158"/>
    </row>
    <row r="679">
      <c r="A679" s="158"/>
    </row>
    <row r="680">
      <c r="A680" s="158"/>
    </row>
    <row r="681">
      <c r="A681" s="158"/>
    </row>
    <row r="682">
      <c r="A682" s="158"/>
    </row>
    <row r="683">
      <c r="A683" s="158"/>
    </row>
    <row r="684">
      <c r="A684" s="158"/>
    </row>
    <row r="685">
      <c r="A685" s="158"/>
    </row>
    <row r="686">
      <c r="A686" s="158"/>
    </row>
    <row r="687">
      <c r="A687" s="158"/>
    </row>
    <row r="688">
      <c r="A688" s="158"/>
    </row>
    <row r="689">
      <c r="A689" s="158"/>
    </row>
    <row r="690">
      <c r="A690" s="158"/>
    </row>
    <row r="691">
      <c r="A691" s="158"/>
    </row>
    <row r="692">
      <c r="A692" s="158"/>
    </row>
    <row r="693">
      <c r="A693" s="158"/>
    </row>
    <row r="694">
      <c r="A694" s="158"/>
    </row>
    <row r="695">
      <c r="A695" s="158"/>
    </row>
    <row r="696">
      <c r="A696" s="158"/>
    </row>
    <row r="697">
      <c r="A697" s="158"/>
    </row>
    <row r="698">
      <c r="A698" s="158"/>
    </row>
    <row r="699">
      <c r="A699" s="158"/>
    </row>
    <row r="700">
      <c r="A700" s="158"/>
    </row>
    <row r="701">
      <c r="A701" s="158"/>
    </row>
    <row r="702">
      <c r="A702" s="158"/>
    </row>
    <row r="703">
      <c r="A703" s="158"/>
    </row>
    <row r="704">
      <c r="A704" s="158"/>
    </row>
    <row r="705">
      <c r="A705" s="158"/>
    </row>
    <row r="706">
      <c r="A706" s="158"/>
    </row>
    <row r="707">
      <c r="A707" s="158"/>
    </row>
    <row r="708">
      <c r="A708" s="158"/>
    </row>
    <row r="709">
      <c r="A709" s="158"/>
    </row>
    <row r="710">
      <c r="A710" s="158"/>
    </row>
    <row r="711">
      <c r="A711" s="158"/>
    </row>
    <row r="712">
      <c r="A712" s="158"/>
    </row>
    <row r="713">
      <c r="A713" s="158"/>
    </row>
    <row r="714">
      <c r="A714" s="158"/>
    </row>
    <row r="715">
      <c r="A715" s="158"/>
    </row>
    <row r="716">
      <c r="A716" s="158"/>
    </row>
    <row r="717">
      <c r="A717" s="158"/>
    </row>
    <row r="718">
      <c r="A718" s="158"/>
    </row>
    <row r="719">
      <c r="A719" s="158"/>
    </row>
    <row r="720">
      <c r="A720" s="158"/>
    </row>
    <row r="721">
      <c r="A721" s="158"/>
    </row>
    <row r="722">
      <c r="A722" s="158"/>
    </row>
    <row r="723">
      <c r="A723" s="158"/>
    </row>
    <row r="724">
      <c r="A724" s="158"/>
    </row>
    <row r="725">
      <c r="A725" s="158"/>
    </row>
    <row r="726">
      <c r="A726" s="158"/>
    </row>
    <row r="727">
      <c r="A727" s="158"/>
    </row>
    <row r="728">
      <c r="A728" s="158"/>
    </row>
    <row r="729">
      <c r="A729" s="158"/>
    </row>
    <row r="730">
      <c r="A730" s="158"/>
    </row>
    <row r="731">
      <c r="A731" s="158"/>
    </row>
    <row r="732">
      <c r="A732" s="158"/>
    </row>
    <row r="733">
      <c r="A733" s="158"/>
    </row>
    <row r="734">
      <c r="A734" s="158"/>
    </row>
    <row r="735">
      <c r="A735" s="158"/>
    </row>
    <row r="736">
      <c r="A736" s="158"/>
    </row>
    <row r="737">
      <c r="A737" s="158"/>
    </row>
    <row r="738">
      <c r="A738" s="158"/>
    </row>
    <row r="739">
      <c r="A739" s="158"/>
    </row>
    <row r="740">
      <c r="A740" s="158"/>
    </row>
    <row r="741">
      <c r="A741" s="158"/>
    </row>
    <row r="742">
      <c r="A742" s="158"/>
    </row>
    <row r="743">
      <c r="A743" s="158"/>
    </row>
    <row r="744">
      <c r="A744" s="158"/>
    </row>
    <row r="745">
      <c r="A745" s="158"/>
    </row>
    <row r="746">
      <c r="A746" s="158"/>
    </row>
    <row r="747">
      <c r="A747" s="158"/>
    </row>
    <row r="748">
      <c r="A748" s="158"/>
    </row>
    <row r="749">
      <c r="A749" s="158"/>
    </row>
    <row r="750">
      <c r="A750" s="158"/>
    </row>
    <row r="751">
      <c r="A751" s="158"/>
    </row>
    <row r="752">
      <c r="A752" s="158"/>
    </row>
    <row r="753">
      <c r="A753" s="158"/>
    </row>
    <row r="754">
      <c r="A754" s="158"/>
    </row>
    <row r="755">
      <c r="A755" s="158"/>
    </row>
    <row r="756">
      <c r="A756" s="158"/>
    </row>
    <row r="757">
      <c r="A757" s="158"/>
    </row>
    <row r="758">
      <c r="A758" s="158"/>
    </row>
    <row r="759">
      <c r="A759" s="158"/>
    </row>
    <row r="760">
      <c r="A760" s="158"/>
    </row>
    <row r="761">
      <c r="A761" s="158"/>
    </row>
    <row r="762">
      <c r="A762" s="158"/>
    </row>
    <row r="763">
      <c r="A763" s="158"/>
    </row>
    <row r="764">
      <c r="A764" s="158"/>
    </row>
    <row r="765">
      <c r="A765" s="158"/>
    </row>
    <row r="766">
      <c r="A766" s="158"/>
    </row>
    <row r="767">
      <c r="A767" s="158"/>
    </row>
    <row r="768">
      <c r="A768" s="158"/>
    </row>
    <row r="769">
      <c r="A769" s="158"/>
    </row>
    <row r="770">
      <c r="A770" s="158"/>
    </row>
    <row r="771">
      <c r="A771" s="158"/>
    </row>
    <row r="772">
      <c r="A772" s="158"/>
    </row>
    <row r="773">
      <c r="A773" s="158"/>
    </row>
    <row r="774">
      <c r="A774" s="158"/>
    </row>
    <row r="775">
      <c r="A775" s="158"/>
    </row>
    <row r="776">
      <c r="A776" s="158"/>
    </row>
    <row r="777">
      <c r="A777" s="158"/>
    </row>
    <row r="778">
      <c r="A778" s="158"/>
    </row>
    <row r="779">
      <c r="A779" s="158"/>
    </row>
    <row r="780">
      <c r="A780" s="158"/>
    </row>
    <row r="781">
      <c r="A781" s="158"/>
    </row>
    <row r="782">
      <c r="A782" s="158"/>
    </row>
    <row r="783">
      <c r="A783" s="158"/>
    </row>
    <row r="784">
      <c r="A784" s="158"/>
    </row>
    <row r="785">
      <c r="A785" s="158"/>
    </row>
    <row r="786">
      <c r="A786" s="158"/>
    </row>
    <row r="787">
      <c r="A787" s="158"/>
    </row>
    <row r="788">
      <c r="A788" s="158"/>
    </row>
    <row r="789">
      <c r="A789" s="158"/>
    </row>
    <row r="790">
      <c r="A790" s="158"/>
    </row>
    <row r="791">
      <c r="A791" s="158"/>
    </row>
    <row r="792">
      <c r="A792" s="158"/>
    </row>
    <row r="793">
      <c r="A793" s="158"/>
    </row>
    <row r="794">
      <c r="A794" s="158"/>
    </row>
    <row r="795">
      <c r="A795" s="158"/>
    </row>
    <row r="796">
      <c r="A796" s="158"/>
    </row>
    <row r="797">
      <c r="A797" s="158"/>
    </row>
    <row r="798">
      <c r="A798" s="158"/>
    </row>
    <row r="799">
      <c r="A799" s="158"/>
    </row>
    <row r="800">
      <c r="A800" s="158"/>
    </row>
    <row r="801">
      <c r="A801" s="158"/>
    </row>
    <row r="802">
      <c r="A802" s="158"/>
    </row>
    <row r="803">
      <c r="A803" s="158"/>
    </row>
    <row r="804">
      <c r="A804" s="158"/>
    </row>
    <row r="805">
      <c r="A805" s="158"/>
    </row>
    <row r="806">
      <c r="A806" s="158"/>
    </row>
    <row r="807">
      <c r="A807" s="158"/>
    </row>
    <row r="808">
      <c r="A808" s="158"/>
    </row>
    <row r="809">
      <c r="A809" s="158"/>
    </row>
    <row r="810">
      <c r="A810" s="158"/>
    </row>
    <row r="811">
      <c r="A811" s="158"/>
    </row>
    <row r="812">
      <c r="A812" s="158"/>
    </row>
    <row r="813">
      <c r="A813" s="158"/>
    </row>
    <row r="814">
      <c r="A814" s="158"/>
    </row>
    <row r="815">
      <c r="A815" s="158"/>
    </row>
    <row r="816">
      <c r="A816" s="158"/>
    </row>
    <row r="817">
      <c r="A817" s="158"/>
    </row>
    <row r="818">
      <c r="A818" s="158"/>
    </row>
    <row r="819">
      <c r="A819" s="158"/>
    </row>
    <row r="820">
      <c r="A820" s="158"/>
    </row>
    <row r="821">
      <c r="A821" s="158"/>
    </row>
    <row r="822">
      <c r="A822" s="158"/>
    </row>
    <row r="823">
      <c r="A823" s="158"/>
    </row>
    <row r="824">
      <c r="A824" s="158"/>
    </row>
    <row r="825">
      <c r="A825" s="158"/>
    </row>
    <row r="826">
      <c r="A826" s="158"/>
    </row>
    <row r="827">
      <c r="A827" s="158"/>
    </row>
    <row r="828">
      <c r="A828" s="158"/>
    </row>
    <row r="829">
      <c r="A829" s="158"/>
    </row>
    <row r="830">
      <c r="A830" s="158"/>
    </row>
    <row r="831">
      <c r="A831" s="158"/>
    </row>
    <row r="832">
      <c r="A832" s="158"/>
    </row>
    <row r="833">
      <c r="A833" s="158"/>
    </row>
    <row r="834">
      <c r="A834" s="158"/>
    </row>
    <row r="835">
      <c r="A835" s="158"/>
    </row>
    <row r="836">
      <c r="A836" s="158"/>
    </row>
    <row r="837">
      <c r="A837" s="158"/>
    </row>
    <row r="838">
      <c r="A838" s="158"/>
    </row>
    <row r="839">
      <c r="A839" s="158"/>
    </row>
    <row r="840">
      <c r="A840" s="158"/>
    </row>
    <row r="841">
      <c r="A841" s="158"/>
    </row>
    <row r="842">
      <c r="A842" s="158"/>
    </row>
    <row r="843">
      <c r="A843" s="158"/>
    </row>
    <row r="844">
      <c r="A844" s="158"/>
    </row>
    <row r="845">
      <c r="A845" s="158"/>
    </row>
    <row r="846">
      <c r="A846" s="158"/>
    </row>
    <row r="847">
      <c r="A847" s="158"/>
    </row>
    <row r="848">
      <c r="A848" s="158"/>
    </row>
    <row r="849">
      <c r="A849" s="158"/>
    </row>
    <row r="850">
      <c r="A850" s="158"/>
    </row>
    <row r="851">
      <c r="A851" s="158"/>
    </row>
    <row r="852">
      <c r="A852" s="158"/>
    </row>
    <row r="853">
      <c r="A853" s="158"/>
    </row>
    <row r="854">
      <c r="A854" s="158"/>
    </row>
    <row r="855">
      <c r="A855" s="158"/>
    </row>
    <row r="856">
      <c r="A856" s="158"/>
    </row>
    <row r="857">
      <c r="A857" s="158"/>
    </row>
    <row r="858">
      <c r="A858" s="158"/>
    </row>
    <row r="859">
      <c r="A859" s="158"/>
    </row>
    <row r="860">
      <c r="A860" s="158"/>
    </row>
    <row r="861">
      <c r="A861" s="158"/>
    </row>
    <row r="862">
      <c r="A862" s="158"/>
    </row>
    <row r="863">
      <c r="A863" s="158"/>
    </row>
    <row r="864">
      <c r="A864" s="158"/>
    </row>
    <row r="865">
      <c r="A865" s="158"/>
    </row>
    <row r="866">
      <c r="A866" s="158"/>
    </row>
    <row r="867">
      <c r="A867" s="158"/>
    </row>
    <row r="868">
      <c r="A868" s="158"/>
    </row>
    <row r="869">
      <c r="A869" s="158"/>
    </row>
    <row r="870">
      <c r="A870" s="158"/>
    </row>
    <row r="871">
      <c r="A871" s="158"/>
    </row>
    <row r="872">
      <c r="A872" s="158"/>
    </row>
    <row r="873">
      <c r="A873" s="158"/>
    </row>
    <row r="874">
      <c r="A874" s="158"/>
    </row>
    <row r="875">
      <c r="A875" s="158"/>
    </row>
    <row r="876">
      <c r="A876" s="158"/>
    </row>
    <row r="877">
      <c r="A877" s="158"/>
    </row>
    <row r="878">
      <c r="A878" s="158"/>
    </row>
    <row r="879">
      <c r="A879" s="158"/>
    </row>
    <row r="880">
      <c r="A880" s="158"/>
    </row>
    <row r="881">
      <c r="A881" s="158"/>
    </row>
    <row r="882">
      <c r="A882" s="158"/>
    </row>
    <row r="883">
      <c r="A883" s="158"/>
    </row>
    <row r="884">
      <c r="A884" s="158"/>
    </row>
    <row r="885">
      <c r="A885" s="158"/>
    </row>
    <row r="886">
      <c r="A886" s="158"/>
    </row>
    <row r="887">
      <c r="A887" s="158"/>
    </row>
    <row r="888">
      <c r="A888" s="158"/>
    </row>
    <row r="889">
      <c r="A889" s="158"/>
    </row>
    <row r="890">
      <c r="A890" s="158"/>
    </row>
    <row r="891">
      <c r="A891" s="158"/>
    </row>
    <row r="892">
      <c r="A892" s="158"/>
    </row>
    <row r="893">
      <c r="A893" s="158"/>
    </row>
    <row r="894">
      <c r="A894" s="158"/>
    </row>
    <row r="895">
      <c r="A895" s="158"/>
    </row>
    <row r="896">
      <c r="A896" s="158"/>
    </row>
    <row r="897">
      <c r="A897" s="158"/>
    </row>
    <row r="898">
      <c r="A898" s="158"/>
    </row>
    <row r="899">
      <c r="A899" s="158"/>
    </row>
    <row r="900">
      <c r="A900" s="158"/>
    </row>
    <row r="901">
      <c r="A901" s="158"/>
    </row>
    <row r="902">
      <c r="A902" s="158"/>
    </row>
    <row r="903">
      <c r="A903" s="158"/>
    </row>
    <row r="904">
      <c r="A904" s="158"/>
    </row>
    <row r="905">
      <c r="A905" s="158"/>
    </row>
    <row r="906">
      <c r="A906" s="158"/>
    </row>
    <row r="907">
      <c r="A907" s="158"/>
    </row>
    <row r="908">
      <c r="A908" s="158"/>
    </row>
    <row r="909">
      <c r="A909" s="158"/>
    </row>
    <row r="910">
      <c r="A910" s="158"/>
    </row>
    <row r="911">
      <c r="A911" s="158"/>
    </row>
    <row r="912">
      <c r="A912" s="158"/>
    </row>
    <row r="913">
      <c r="A913" s="158"/>
    </row>
    <row r="914">
      <c r="A914" s="158"/>
    </row>
    <row r="915">
      <c r="A915" s="158"/>
    </row>
    <row r="916">
      <c r="A916" s="158"/>
    </row>
    <row r="917">
      <c r="A917" s="158"/>
    </row>
    <row r="918">
      <c r="A918" s="158"/>
    </row>
    <row r="919">
      <c r="A919" s="158"/>
    </row>
    <row r="920">
      <c r="A920" s="158"/>
    </row>
    <row r="921">
      <c r="A921" s="158"/>
    </row>
    <row r="922">
      <c r="A922" s="158"/>
    </row>
    <row r="923">
      <c r="A923" s="158"/>
    </row>
    <row r="924">
      <c r="A924" s="158"/>
    </row>
    <row r="925">
      <c r="A925" s="158"/>
    </row>
    <row r="926">
      <c r="A926" s="158"/>
    </row>
    <row r="927">
      <c r="A927" s="158"/>
    </row>
    <row r="928">
      <c r="A928" s="158"/>
    </row>
    <row r="929">
      <c r="A929" s="158"/>
    </row>
    <row r="930">
      <c r="A930" s="158"/>
    </row>
    <row r="931">
      <c r="A931" s="158"/>
    </row>
    <row r="932">
      <c r="A932" s="158"/>
    </row>
    <row r="933">
      <c r="A933" s="158"/>
    </row>
    <row r="934">
      <c r="A934" s="158"/>
    </row>
    <row r="935">
      <c r="A935" s="158"/>
    </row>
    <row r="936">
      <c r="A936" s="158"/>
    </row>
    <row r="937">
      <c r="A937" s="158"/>
    </row>
    <row r="938">
      <c r="A938" s="158"/>
    </row>
    <row r="939">
      <c r="A939" s="158"/>
    </row>
    <row r="940">
      <c r="A940" s="158"/>
    </row>
    <row r="941">
      <c r="A941" s="158"/>
    </row>
    <row r="942">
      <c r="A942" s="158"/>
    </row>
    <row r="943">
      <c r="A943" s="158"/>
    </row>
    <row r="944">
      <c r="A944" s="158"/>
    </row>
    <row r="945">
      <c r="A945" s="158"/>
    </row>
    <row r="946">
      <c r="A946" s="158"/>
    </row>
    <row r="947">
      <c r="A947" s="158"/>
    </row>
    <row r="948">
      <c r="A948" s="158"/>
    </row>
    <row r="949">
      <c r="A949" s="158"/>
    </row>
    <row r="950">
      <c r="A950" s="158"/>
    </row>
    <row r="951">
      <c r="A951" s="158"/>
    </row>
    <row r="952">
      <c r="A952" s="158"/>
    </row>
    <row r="953">
      <c r="A953" s="158"/>
    </row>
    <row r="954">
      <c r="A954" s="158"/>
    </row>
    <row r="955">
      <c r="A955" s="158"/>
    </row>
    <row r="956">
      <c r="A956" s="158"/>
    </row>
    <row r="957">
      <c r="A957" s="158"/>
    </row>
    <row r="958">
      <c r="A958" s="158"/>
    </row>
    <row r="959">
      <c r="A959" s="158"/>
    </row>
    <row r="960">
      <c r="A960" s="158"/>
    </row>
    <row r="961">
      <c r="A961" s="158"/>
    </row>
    <row r="962">
      <c r="A962" s="158"/>
    </row>
    <row r="963">
      <c r="A963" s="158"/>
    </row>
    <row r="964">
      <c r="A964" s="158"/>
    </row>
    <row r="965">
      <c r="A965" s="158"/>
    </row>
    <row r="966">
      <c r="A966" s="158"/>
    </row>
    <row r="967">
      <c r="A967" s="158"/>
    </row>
    <row r="968">
      <c r="A968" s="158"/>
    </row>
    <row r="969">
      <c r="A969" s="158"/>
    </row>
    <row r="970">
      <c r="A970" s="158"/>
    </row>
    <row r="971">
      <c r="A971" s="158"/>
    </row>
    <row r="972">
      <c r="A972" s="158"/>
    </row>
    <row r="973">
      <c r="A973" s="158"/>
    </row>
    <row r="974">
      <c r="A974" s="158"/>
    </row>
    <row r="975">
      <c r="A975" s="158"/>
    </row>
    <row r="976">
      <c r="A976" s="158"/>
    </row>
    <row r="977">
      <c r="A977" s="158"/>
    </row>
    <row r="978">
      <c r="A978" s="1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32.25"/>
    <col customWidth="1" min="3" max="3" width="27.0"/>
    <col customWidth="1" min="4" max="4" width="16.88"/>
  </cols>
  <sheetData>
    <row r="1">
      <c r="A1" s="1" t="s">
        <v>0</v>
      </c>
      <c r="B1" s="52" t="s">
        <v>1</v>
      </c>
      <c r="C1" s="52" t="s">
        <v>3</v>
      </c>
      <c r="D1" s="52" t="s">
        <v>269</v>
      </c>
      <c r="E1" s="52"/>
      <c r="F1" s="52"/>
      <c r="G1" s="52"/>
      <c r="H1" s="52"/>
      <c r="I1" s="52"/>
      <c r="J1" s="52"/>
      <c r="K1" s="52"/>
      <c r="L1" s="52"/>
      <c r="M1" s="52"/>
      <c r="N1" s="52"/>
      <c r="O1" s="52"/>
      <c r="P1" s="52"/>
      <c r="Q1" s="52"/>
      <c r="R1" s="52"/>
      <c r="S1" s="52"/>
      <c r="T1" s="52"/>
      <c r="U1" s="52"/>
      <c r="V1" s="52"/>
      <c r="W1" s="52"/>
      <c r="X1" s="52"/>
      <c r="Y1" s="52"/>
      <c r="Z1" s="52"/>
      <c r="AA1" s="52"/>
      <c r="AB1" s="52"/>
      <c r="AC1" s="52"/>
    </row>
    <row r="2">
      <c r="A2" s="5" t="s">
        <v>14</v>
      </c>
      <c r="B2" s="6" t="s">
        <v>15</v>
      </c>
      <c r="C2" s="6" t="s">
        <v>390</v>
      </c>
      <c r="D2" s="18" t="s">
        <v>391</v>
      </c>
      <c r="E2" s="11"/>
      <c r="F2" s="11"/>
      <c r="G2" s="11"/>
      <c r="H2" s="11"/>
      <c r="I2" s="11"/>
      <c r="J2" s="11"/>
      <c r="K2" s="11"/>
      <c r="L2" s="11"/>
      <c r="M2" s="11"/>
      <c r="N2" s="11"/>
      <c r="O2" s="11"/>
      <c r="P2" s="11"/>
      <c r="Q2" s="11"/>
      <c r="R2" s="11"/>
      <c r="S2" s="11"/>
      <c r="T2" s="11"/>
      <c r="U2" s="11"/>
      <c r="V2" s="11"/>
      <c r="W2" s="11"/>
      <c r="X2" s="11"/>
      <c r="Y2" s="11"/>
      <c r="Z2" s="11"/>
      <c r="AA2" s="11"/>
      <c r="AB2" s="11"/>
      <c r="AC2" s="11"/>
    </row>
    <row r="3">
      <c r="A3" s="167" t="s">
        <v>23</v>
      </c>
      <c r="B3" s="165" t="s">
        <v>24</v>
      </c>
      <c r="C3" s="6" t="s">
        <v>390</v>
      </c>
      <c r="D3" s="11" t="s">
        <v>392</v>
      </c>
      <c r="E3" s="11"/>
      <c r="F3" s="11"/>
      <c r="G3" s="11"/>
      <c r="H3" s="11"/>
      <c r="I3" s="11"/>
      <c r="J3" s="11"/>
      <c r="K3" s="11"/>
      <c r="L3" s="11"/>
      <c r="M3" s="11"/>
      <c r="N3" s="11"/>
      <c r="O3" s="11"/>
      <c r="P3" s="11"/>
      <c r="Q3" s="11"/>
      <c r="R3" s="11"/>
      <c r="S3" s="11"/>
      <c r="T3" s="11"/>
      <c r="U3" s="11"/>
      <c r="V3" s="11"/>
      <c r="W3" s="11"/>
      <c r="X3" s="11"/>
      <c r="Y3" s="11"/>
      <c r="Z3" s="11"/>
      <c r="AA3" s="11"/>
      <c r="AB3" s="11"/>
      <c r="AC3" s="11"/>
    </row>
    <row r="4">
      <c r="A4" s="93" t="s">
        <v>27</v>
      </c>
      <c r="B4" s="15" t="s">
        <v>32</v>
      </c>
      <c r="C4" s="6" t="s">
        <v>390</v>
      </c>
      <c r="D4" s="18" t="s">
        <v>393</v>
      </c>
      <c r="E4" s="146"/>
      <c r="F4" s="145"/>
      <c r="G4" s="146"/>
      <c r="H4" s="11"/>
      <c r="I4" s="168"/>
      <c r="J4" s="11"/>
      <c r="L4" s="11"/>
      <c r="M4" s="11"/>
      <c r="N4" s="11"/>
      <c r="O4" s="11"/>
      <c r="P4" s="11"/>
      <c r="Q4" s="11"/>
      <c r="R4" s="11"/>
      <c r="S4" s="11"/>
      <c r="T4" s="11"/>
      <c r="U4" s="11"/>
      <c r="V4" s="11"/>
      <c r="W4" s="11"/>
      <c r="X4" s="11"/>
      <c r="Y4" s="11"/>
      <c r="Z4" s="11"/>
      <c r="AA4" s="11"/>
      <c r="AB4" s="11"/>
      <c r="AC4" s="11"/>
    </row>
    <row r="5">
      <c r="A5" s="37" t="s">
        <v>49</v>
      </c>
      <c r="B5" s="7" t="s">
        <v>50</v>
      </c>
      <c r="C5" s="6" t="s">
        <v>390</v>
      </c>
      <c r="D5" s="18" t="s">
        <v>394</v>
      </c>
      <c r="E5" s="146"/>
      <c r="F5" s="145"/>
      <c r="G5" s="146"/>
      <c r="H5" s="11"/>
      <c r="I5" s="11"/>
      <c r="J5" s="11"/>
      <c r="L5" s="11"/>
      <c r="M5" s="11"/>
      <c r="N5" s="11"/>
      <c r="O5" s="11"/>
      <c r="P5" s="11"/>
      <c r="Q5" s="11"/>
      <c r="R5" s="11"/>
      <c r="S5" s="11"/>
      <c r="T5" s="11"/>
      <c r="U5" s="11"/>
      <c r="V5" s="11"/>
      <c r="W5" s="11"/>
      <c r="X5" s="11"/>
      <c r="Y5" s="11"/>
      <c r="Z5" s="11"/>
      <c r="AA5" s="11"/>
      <c r="AB5" s="11"/>
      <c r="AC5" s="11"/>
    </row>
    <row r="6">
      <c r="A6" s="37" t="s">
        <v>59</v>
      </c>
      <c r="B6" s="7" t="s">
        <v>60</v>
      </c>
      <c r="C6" s="6" t="s">
        <v>390</v>
      </c>
      <c r="D6" s="18" t="s">
        <v>395</v>
      </c>
      <c r="E6" s="146"/>
      <c r="F6" s="145"/>
      <c r="G6" s="146"/>
      <c r="H6" s="11"/>
      <c r="I6" s="11"/>
      <c r="J6" s="11"/>
      <c r="L6" s="11"/>
      <c r="M6" s="11"/>
      <c r="N6" s="11"/>
      <c r="O6" s="11"/>
      <c r="P6" s="11"/>
      <c r="Q6" s="11"/>
      <c r="R6" s="11"/>
      <c r="S6" s="11"/>
      <c r="T6" s="11"/>
      <c r="U6" s="11"/>
      <c r="V6" s="11"/>
      <c r="W6" s="11"/>
      <c r="X6" s="11"/>
      <c r="Y6" s="11"/>
      <c r="Z6" s="11"/>
      <c r="AA6" s="11"/>
      <c r="AB6" s="11"/>
      <c r="AC6" s="11"/>
    </row>
    <row r="7">
      <c r="A7" s="37" t="s">
        <v>62</v>
      </c>
      <c r="B7" s="7" t="s">
        <v>63</v>
      </c>
      <c r="C7" s="6" t="s">
        <v>390</v>
      </c>
      <c r="D7" s="23" t="s">
        <v>396</v>
      </c>
      <c r="E7" s="146"/>
      <c r="F7" s="145"/>
      <c r="G7" s="169"/>
      <c r="H7" s="11"/>
      <c r="I7" s="11"/>
      <c r="J7" s="11"/>
      <c r="L7" s="11"/>
      <c r="M7" s="11"/>
      <c r="N7" s="11"/>
      <c r="O7" s="11"/>
      <c r="P7" s="11"/>
      <c r="Q7" s="11"/>
      <c r="R7" s="11"/>
      <c r="S7" s="11"/>
      <c r="T7" s="11"/>
      <c r="U7" s="11"/>
      <c r="V7" s="11"/>
      <c r="W7" s="11"/>
      <c r="X7" s="11"/>
      <c r="Y7" s="11"/>
      <c r="Z7" s="11"/>
      <c r="AA7" s="11"/>
      <c r="AB7" s="11"/>
      <c r="AC7" s="11"/>
    </row>
    <row r="8">
      <c r="A8" s="40" t="s">
        <v>35</v>
      </c>
      <c r="B8" s="29" t="s">
        <v>36</v>
      </c>
      <c r="C8" s="6" t="s">
        <v>390</v>
      </c>
      <c r="D8" s="29" t="s">
        <v>397</v>
      </c>
    </row>
    <row r="9">
      <c r="A9" s="37" t="s">
        <v>67</v>
      </c>
      <c r="B9" s="7" t="s">
        <v>68</v>
      </c>
      <c r="C9" s="6" t="s">
        <v>390</v>
      </c>
      <c r="D9" s="7" t="s">
        <v>398</v>
      </c>
      <c r="E9" s="146"/>
      <c r="F9" s="145"/>
      <c r="G9" s="169"/>
      <c r="H9" s="11"/>
      <c r="I9" s="11"/>
      <c r="J9" s="11"/>
      <c r="L9" s="11"/>
      <c r="M9" s="11"/>
      <c r="N9" s="11"/>
      <c r="O9" s="11"/>
      <c r="P9" s="11"/>
      <c r="Q9" s="11"/>
      <c r="R9" s="11"/>
      <c r="S9" s="11"/>
      <c r="T9" s="11"/>
      <c r="U9" s="11"/>
      <c r="V9" s="11"/>
      <c r="W9" s="11"/>
      <c r="X9" s="11"/>
      <c r="Y9" s="11"/>
      <c r="Z9" s="11"/>
      <c r="AA9" s="11"/>
      <c r="AB9" s="11"/>
      <c r="AC9" s="11"/>
    </row>
    <row r="10">
      <c r="A10" s="37" t="s">
        <v>71</v>
      </c>
      <c r="B10" s="7" t="s">
        <v>208</v>
      </c>
      <c r="C10" s="6" t="s">
        <v>390</v>
      </c>
      <c r="D10" s="29" t="s">
        <v>399</v>
      </c>
    </row>
    <row r="11">
      <c r="A11" s="37" t="s">
        <v>75</v>
      </c>
      <c r="B11" s="6" t="s">
        <v>76</v>
      </c>
      <c r="C11" s="6" t="s">
        <v>390</v>
      </c>
      <c r="D11" s="29" t="s">
        <v>400</v>
      </c>
    </row>
    <row r="12">
      <c r="A12" s="37" t="s">
        <v>78</v>
      </c>
      <c r="B12" s="7" t="s">
        <v>79</v>
      </c>
      <c r="C12" s="6" t="s">
        <v>390</v>
      </c>
      <c r="D12" s="11" t="s">
        <v>401</v>
      </c>
      <c r="E12" s="11"/>
      <c r="F12" s="145"/>
      <c r="G12" s="146"/>
      <c r="H12" s="11"/>
      <c r="I12" s="11"/>
      <c r="J12" s="11"/>
      <c r="L12" s="11"/>
      <c r="M12" s="11"/>
      <c r="N12" s="11"/>
      <c r="O12" s="11"/>
      <c r="P12" s="11"/>
      <c r="Q12" s="11"/>
      <c r="R12" s="11"/>
      <c r="S12" s="11"/>
      <c r="T12" s="11"/>
      <c r="U12" s="11"/>
      <c r="V12" s="11"/>
      <c r="W12" s="11"/>
      <c r="X12" s="11"/>
      <c r="Y12" s="11"/>
      <c r="Z12" s="11"/>
      <c r="AA12" s="11"/>
      <c r="AB12" s="11"/>
      <c r="AC12" s="11"/>
    </row>
    <row r="13">
      <c r="A13" s="37" t="s">
        <v>81</v>
      </c>
      <c r="B13" s="7" t="s">
        <v>82</v>
      </c>
      <c r="C13" s="6" t="s">
        <v>390</v>
      </c>
      <c r="D13" s="29" t="s">
        <v>402</v>
      </c>
    </row>
    <row r="14">
      <c r="A14" s="5" t="s">
        <v>84</v>
      </c>
      <c r="B14" s="7" t="s">
        <v>85</v>
      </c>
      <c r="C14" s="6" t="s">
        <v>390</v>
      </c>
      <c r="D14" s="29" t="s">
        <v>397</v>
      </c>
    </row>
    <row r="15">
      <c r="A15" s="37" t="s">
        <v>87</v>
      </c>
      <c r="B15" s="7" t="s">
        <v>88</v>
      </c>
      <c r="C15" s="6" t="s">
        <v>390</v>
      </c>
      <c r="D15" s="29" t="s">
        <v>397</v>
      </c>
    </row>
    <row r="16">
      <c r="A16" s="5" t="s">
        <v>92</v>
      </c>
      <c r="B16" s="7" t="s">
        <v>93</v>
      </c>
      <c r="C16" s="6" t="s">
        <v>390</v>
      </c>
      <c r="D16" s="29" t="s">
        <v>397</v>
      </c>
    </row>
    <row r="17">
      <c r="A17" s="5" t="s">
        <v>95</v>
      </c>
      <c r="B17" s="7" t="s">
        <v>96</v>
      </c>
      <c r="C17" s="6" t="s">
        <v>390</v>
      </c>
      <c r="D17" s="29" t="s">
        <v>397</v>
      </c>
    </row>
    <row r="18">
      <c r="A18" s="40" t="s">
        <v>104</v>
      </c>
      <c r="B18" s="29" t="s">
        <v>105</v>
      </c>
      <c r="C18" s="6" t="s">
        <v>390</v>
      </c>
      <c r="D18" s="29" t="s">
        <v>403</v>
      </c>
    </row>
    <row r="19">
      <c r="A19" s="98" t="s">
        <v>121</v>
      </c>
      <c r="B19" s="11" t="s">
        <v>122</v>
      </c>
      <c r="C19" s="6" t="s">
        <v>390</v>
      </c>
      <c r="D19" s="29" t="s">
        <v>404</v>
      </c>
    </row>
    <row r="20">
      <c r="A20" s="5" t="s">
        <v>125</v>
      </c>
      <c r="B20" s="27" t="s">
        <v>126</v>
      </c>
      <c r="C20" s="6" t="s">
        <v>390</v>
      </c>
      <c r="D20" s="29" t="s">
        <v>405</v>
      </c>
    </row>
    <row r="21">
      <c r="A21" s="93" t="s">
        <v>129</v>
      </c>
      <c r="B21" s="15" t="s">
        <v>130</v>
      </c>
      <c r="C21" s="6" t="s">
        <v>390</v>
      </c>
      <c r="D21" s="29" t="s">
        <v>406</v>
      </c>
    </row>
    <row r="22">
      <c r="A22" s="28" t="s">
        <v>136</v>
      </c>
      <c r="B22" s="29" t="s">
        <v>137</v>
      </c>
      <c r="C22" s="6" t="s">
        <v>390</v>
      </c>
      <c r="D22" s="29" t="s">
        <v>407</v>
      </c>
    </row>
    <row r="23">
      <c r="A23" s="37" t="s">
        <v>146</v>
      </c>
      <c r="B23" s="35" t="s">
        <v>147</v>
      </c>
      <c r="C23" s="6" t="s">
        <v>390</v>
      </c>
      <c r="D23" s="29" t="s">
        <v>408</v>
      </c>
    </row>
    <row r="24">
      <c r="A24" s="37" t="s">
        <v>151</v>
      </c>
      <c r="B24" s="7" t="s">
        <v>152</v>
      </c>
      <c r="C24" s="6" t="s">
        <v>390</v>
      </c>
      <c r="D24" s="29" t="s">
        <v>409</v>
      </c>
    </row>
    <row r="25">
      <c r="A25" s="37" t="s">
        <v>154</v>
      </c>
      <c r="B25" s="7" t="s">
        <v>155</v>
      </c>
      <c r="C25" s="6" t="s">
        <v>390</v>
      </c>
      <c r="D25" s="29" t="s">
        <v>410</v>
      </c>
    </row>
    <row r="26">
      <c r="A26" s="5" t="s">
        <v>157</v>
      </c>
      <c r="B26" s="27" t="s">
        <v>158</v>
      </c>
      <c r="C26" s="6" t="s">
        <v>390</v>
      </c>
      <c r="D26" s="29" t="s">
        <v>411</v>
      </c>
    </row>
    <row r="27">
      <c r="A27" s="37" t="s">
        <v>167</v>
      </c>
      <c r="B27" s="6" t="s">
        <v>168</v>
      </c>
      <c r="C27" s="6" t="s">
        <v>390</v>
      </c>
      <c r="D27" s="29" t="s">
        <v>412</v>
      </c>
    </row>
    <row r="28">
      <c r="A28" s="110" t="s">
        <v>171</v>
      </c>
      <c r="B28" s="170" t="s">
        <v>172</v>
      </c>
      <c r="C28" s="6" t="s">
        <v>390</v>
      </c>
      <c r="D28" s="29" t="s">
        <v>413</v>
      </c>
    </row>
    <row r="29">
      <c r="A29" s="41" t="s">
        <v>183</v>
      </c>
      <c r="B29" s="43" t="s">
        <v>184</v>
      </c>
      <c r="C29" s="6" t="s">
        <v>390</v>
      </c>
      <c r="D29" s="29" t="s">
        <v>414</v>
      </c>
    </row>
    <row r="30">
      <c r="A30" s="41" t="s">
        <v>189</v>
      </c>
      <c r="B30" s="43" t="s">
        <v>190</v>
      </c>
      <c r="C30" s="6" t="s">
        <v>390</v>
      </c>
      <c r="D30" s="29" t="s">
        <v>415</v>
      </c>
    </row>
    <row r="31">
      <c r="A31" s="41" t="s">
        <v>192</v>
      </c>
      <c r="B31" s="11" t="s">
        <v>193</v>
      </c>
      <c r="C31" s="6" t="s">
        <v>390</v>
      </c>
      <c r="D31" s="29" t="s">
        <v>416</v>
      </c>
    </row>
    <row r="32">
      <c r="A32" s="41" t="s">
        <v>195</v>
      </c>
      <c r="B32" s="27" t="s">
        <v>196</v>
      </c>
      <c r="C32" s="6" t="s">
        <v>390</v>
      </c>
      <c r="D32" s="29" t="s">
        <v>417</v>
      </c>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7.63"/>
    <col customWidth="1" min="3" max="3" width="32.63"/>
    <col customWidth="1" min="4" max="4" width="11.5"/>
    <col customWidth="1" min="5" max="5" width="12.0"/>
    <col customWidth="1" min="6" max="6" width="10.63"/>
    <col customWidth="1" min="7" max="7" width="23.5"/>
  </cols>
  <sheetData>
    <row r="1">
      <c r="A1" s="1" t="s">
        <v>0</v>
      </c>
      <c r="B1" s="52" t="s">
        <v>1</v>
      </c>
      <c r="C1" s="52" t="s">
        <v>3</v>
      </c>
      <c r="D1" s="54" t="s">
        <v>266</v>
      </c>
      <c r="E1" s="54" t="s">
        <v>267</v>
      </c>
      <c r="F1" s="54" t="s">
        <v>268</v>
      </c>
      <c r="G1" s="52" t="s">
        <v>269</v>
      </c>
      <c r="H1" s="52"/>
      <c r="I1" s="52"/>
      <c r="J1" s="52"/>
      <c r="K1" s="52"/>
      <c r="L1" s="52"/>
      <c r="M1" s="52"/>
      <c r="N1" s="52"/>
      <c r="O1" s="52"/>
      <c r="P1" s="52"/>
      <c r="Q1" s="52"/>
      <c r="R1" s="52"/>
      <c r="S1" s="52"/>
      <c r="T1" s="52"/>
      <c r="U1" s="52"/>
      <c r="V1" s="52"/>
      <c r="W1" s="52"/>
      <c r="X1" s="52"/>
      <c r="Y1" s="52"/>
    </row>
    <row r="2">
      <c r="A2" s="5" t="s">
        <v>55</v>
      </c>
      <c r="B2" s="27" t="s">
        <v>56</v>
      </c>
      <c r="C2" s="29" t="s">
        <v>418</v>
      </c>
      <c r="D2" s="18" t="s">
        <v>274</v>
      </c>
      <c r="E2" s="29">
        <v>2001.0</v>
      </c>
      <c r="F2" s="29">
        <v>2007.0</v>
      </c>
      <c r="G2" s="29" t="s">
        <v>419</v>
      </c>
    </row>
    <row r="3">
      <c r="A3" s="37" t="s">
        <v>71</v>
      </c>
      <c r="B3" s="7" t="s">
        <v>208</v>
      </c>
      <c r="C3" s="29" t="s">
        <v>420</v>
      </c>
      <c r="D3" s="18" t="s">
        <v>274</v>
      </c>
      <c r="E3" s="29">
        <v>2010.0</v>
      </c>
      <c r="F3" s="29"/>
      <c r="G3" s="29" t="s">
        <v>421</v>
      </c>
    </row>
    <row r="4">
      <c r="A4" s="37" t="s">
        <v>71</v>
      </c>
      <c r="B4" s="7" t="s">
        <v>208</v>
      </c>
      <c r="C4" s="11" t="s">
        <v>422</v>
      </c>
      <c r="D4" s="29" t="s">
        <v>423</v>
      </c>
      <c r="E4" s="29" t="s">
        <v>424</v>
      </c>
      <c r="F4" s="29"/>
      <c r="G4" s="29" t="s">
        <v>425</v>
      </c>
    </row>
    <row r="5">
      <c r="A5" s="37" t="s">
        <v>87</v>
      </c>
      <c r="B5" s="7" t="s">
        <v>88</v>
      </c>
      <c r="C5" s="29" t="s">
        <v>426</v>
      </c>
      <c r="D5" s="29" t="s">
        <v>423</v>
      </c>
      <c r="E5" s="29" t="s">
        <v>424</v>
      </c>
      <c r="G5" s="95" t="s">
        <v>427</v>
      </c>
    </row>
    <row r="6">
      <c r="A6" s="40" t="s">
        <v>111</v>
      </c>
      <c r="B6" s="29" t="s">
        <v>112</v>
      </c>
      <c r="C6" s="29" t="s">
        <v>428</v>
      </c>
      <c r="D6" s="18" t="s">
        <v>274</v>
      </c>
      <c r="E6" s="29">
        <v>2015.0</v>
      </c>
      <c r="G6" s="29" t="s">
        <v>429</v>
      </c>
    </row>
    <row r="7">
      <c r="A7" s="40" t="s">
        <v>108</v>
      </c>
      <c r="B7" s="29" t="s">
        <v>109</v>
      </c>
      <c r="C7" s="29" t="s">
        <v>430</v>
      </c>
      <c r="D7" s="29" t="s">
        <v>423</v>
      </c>
      <c r="E7" s="29" t="s">
        <v>424</v>
      </c>
      <c r="G7" s="29" t="s">
        <v>431</v>
      </c>
    </row>
    <row r="8">
      <c r="A8" s="98" t="s">
        <v>121</v>
      </c>
      <c r="B8" s="11" t="s">
        <v>122</v>
      </c>
      <c r="C8" s="29" t="s">
        <v>428</v>
      </c>
      <c r="D8" s="18" t="s">
        <v>274</v>
      </c>
      <c r="E8" s="29">
        <v>2010.0</v>
      </c>
      <c r="G8" s="29" t="s">
        <v>432</v>
      </c>
    </row>
    <row r="9">
      <c r="A9" s="5" t="s">
        <v>14</v>
      </c>
      <c r="B9" s="6" t="s">
        <v>15</v>
      </c>
      <c r="C9" s="29" t="s">
        <v>433</v>
      </c>
      <c r="D9" s="29" t="s">
        <v>423</v>
      </c>
      <c r="E9" s="29">
        <v>2012.0</v>
      </c>
      <c r="G9" s="29" t="s">
        <v>434</v>
      </c>
    </row>
    <row r="10">
      <c r="A10" s="37" t="s">
        <v>146</v>
      </c>
      <c r="B10" s="35" t="s">
        <v>147</v>
      </c>
      <c r="C10" s="29" t="s">
        <v>435</v>
      </c>
      <c r="D10" s="18" t="s">
        <v>274</v>
      </c>
      <c r="G10" s="29" t="s">
        <v>436</v>
      </c>
    </row>
    <row r="11">
      <c r="A11" s="37" t="s">
        <v>154</v>
      </c>
      <c r="B11" s="7" t="s">
        <v>155</v>
      </c>
      <c r="C11" s="29" t="s">
        <v>437</v>
      </c>
      <c r="D11" s="18" t="s">
        <v>274</v>
      </c>
      <c r="E11" s="29">
        <v>2011.0</v>
      </c>
      <c r="G11" s="29" t="s">
        <v>438</v>
      </c>
    </row>
    <row r="12">
      <c r="A12" s="37" t="s">
        <v>154</v>
      </c>
      <c r="B12" s="7" t="s">
        <v>155</v>
      </c>
      <c r="C12" s="29" t="s">
        <v>428</v>
      </c>
      <c r="D12" s="18" t="s">
        <v>274</v>
      </c>
      <c r="E12" s="29">
        <v>2011.0</v>
      </c>
      <c r="G12" s="29" t="s">
        <v>439</v>
      </c>
    </row>
    <row r="13">
      <c r="A13" s="37" t="s">
        <v>160</v>
      </c>
      <c r="B13" s="7" t="s">
        <v>161</v>
      </c>
      <c r="C13" s="29" t="s">
        <v>437</v>
      </c>
      <c r="D13" s="18" t="s">
        <v>274</v>
      </c>
      <c r="E13" s="29">
        <v>2015.0</v>
      </c>
      <c r="G13" s="29" t="s">
        <v>440</v>
      </c>
    </row>
    <row r="14">
      <c r="A14" s="75" t="s">
        <v>178</v>
      </c>
      <c r="B14" s="43" t="s">
        <v>179</v>
      </c>
      <c r="C14" s="29" t="s">
        <v>441</v>
      </c>
      <c r="D14" s="18" t="s">
        <v>442</v>
      </c>
      <c r="E14" s="29">
        <v>2010.0</v>
      </c>
      <c r="G14" s="29" t="s">
        <v>443</v>
      </c>
    </row>
    <row r="15">
      <c r="A15" s="171" t="s">
        <v>178</v>
      </c>
      <c r="B15" s="172" t="s">
        <v>179</v>
      </c>
      <c r="C15" s="42" t="s">
        <v>441</v>
      </c>
      <c r="D15" s="170" t="s">
        <v>442</v>
      </c>
      <c r="E15" s="168">
        <v>2010.0</v>
      </c>
      <c r="F15" s="11"/>
      <c r="G15" s="18" t="s">
        <v>444</v>
      </c>
      <c r="H15" s="11"/>
      <c r="I15" s="11"/>
      <c r="J15" s="11"/>
      <c r="K15" s="11"/>
      <c r="L15" s="11"/>
      <c r="M15" s="11"/>
      <c r="N15" s="11"/>
      <c r="O15" s="11"/>
      <c r="P15" s="11"/>
      <c r="Q15" s="11"/>
      <c r="R15" s="11"/>
      <c r="S15" s="11"/>
      <c r="T15" s="11"/>
      <c r="U15" s="11"/>
      <c r="V15" s="11"/>
      <c r="W15" s="11"/>
      <c r="X15" s="11"/>
      <c r="Y15" s="11"/>
      <c r="Z15" s="11"/>
    </row>
    <row r="16">
      <c r="A16" s="171" t="s">
        <v>178</v>
      </c>
      <c r="B16" s="172" t="s">
        <v>179</v>
      </c>
      <c r="C16" s="42" t="s">
        <v>441</v>
      </c>
      <c r="D16" s="170" t="s">
        <v>442</v>
      </c>
      <c r="E16" s="168">
        <v>2010.0</v>
      </c>
      <c r="G16" s="29" t="s">
        <v>445</v>
      </c>
    </row>
    <row r="17">
      <c r="A17" s="41" t="s">
        <v>183</v>
      </c>
      <c r="B17" s="43" t="s">
        <v>184</v>
      </c>
      <c r="C17" s="29" t="s">
        <v>446</v>
      </c>
      <c r="D17" s="18" t="s">
        <v>274</v>
      </c>
      <c r="E17" s="29" t="s">
        <v>424</v>
      </c>
      <c r="G17" s="29" t="s">
        <v>447</v>
      </c>
    </row>
    <row r="18">
      <c r="A18" s="41" t="s">
        <v>192</v>
      </c>
      <c r="B18" s="11" t="s">
        <v>193</v>
      </c>
      <c r="C18" s="29" t="s">
        <v>448</v>
      </c>
      <c r="D18" s="29" t="s">
        <v>449</v>
      </c>
      <c r="E18" s="29" t="s">
        <v>424</v>
      </c>
      <c r="G18" s="29" t="s">
        <v>450</v>
      </c>
    </row>
    <row r="19">
      <c r="A19" s="48"/>
    </row>
    <row r="20">
      <c r="A20" s="48"/>
    </row>
    <row r="21">
      <c r="A21" s="48"/>
    </row>
    <row r="22">
      <c r="A22" s="48"/>
    </row>
    <row r="23">
      <c r="A23" s="48"/>
    </row>
    <row r="24">
      <c r="A24" s="48"/>
    </row>
    <row r="25">
      <c r="A25" s="48"/>
    </row>
    <row r="26">
      <c r="A26" s="48"/>
    </row>
    <row r="27">
      <c r="A27" s="48"/>
    </row>
    <row r="28">
      <c r="A28" s="48"/>
    </row>
    <row r="29">
      <c r="A29" s="48"/>
    </row>
    <row r="30">
      <c r="A30" s="48"/>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sheetData>
  <drawing r:id="rId1"/>
</worksheet>
</file>